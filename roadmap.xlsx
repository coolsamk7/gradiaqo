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" sheetId="1" state="visible" r:id="rId1"/>
    <sheet name="Backlog" sheetId="2" state="visible" r:id="rId2"/>
    <sheet name="How to use" sheetId="3" state="visible" r:id="rId3"/>
    <sheet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6"/>
    </font>
    <font>
      <name val="Arial"/>
      <i val="1"/>
      <color rgb="00595959"/>
      <sz val="10"/>
    </font>
    <font>
      <name val="Arial"/>
      <b val="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9" fontId="2" fillId="0" borderId="1" applyAlignment="1" pivotButton="0" quotePrefix="0" xfId="0">
      <alignment vertical="top" wrapText="1"/>
    </xf>
    <xf numFmtId="0" fontId="5" fillId="0" borderId="2" pivotButton="0" quotePrefix="0" xfId="0"/>
    <xf numFmtId="0" fontId="0" fillId="0" borderId="2" pivotButton="0" quotePrefix="0" xfId="0"/>
    <xf numFmtId="9" fontId="5" fillId="0" borderId="2" pivotButton="0" quotePrefix="0" xfId="0"/>
    <xf numFmtId="0" fontId="1" fillId="2" borderId="0" applyAlignment="1" pivotButton="0" quotePrefix="0" xfId="0">
      <alignment vertical="center"/>
    </xf>
    <xf numFmtId="164" fontId="2" fillId="0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E2EFDA"/>
          <bgColor rgb="00E2EFDA"/>
        </patternFill>
      </fill>
    </dxf>
    <dxf>
      <fill>
        <patternFill patternType="solid">
          <fgColor rgb="00DDEBF7"/>
          <bgColor rgb="00DDEBF7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EDEDED"/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BacklogTable" displayName="BacklogTable" ref="A1:P107" headerRowCount="1">
  <autoFilter ref="A1:P107"/>
  <tableColumns count="16">
    <tableColumn id="1" name="ID"/>
    <tableColumn id="2" name="Title"/>
    <tableColumn id="3" name="Description"/>
    <tableColumn id="4" name="Area"/>
    <tableColumn id="5" name="Milestone"/>
    <tableColumn id="6" name="Milestone name"/>
    <tableColumn id="7" name="Type"/>
    <tableColumn id="8" name="Priority"/>
    <tableColumn id="9" name="Size"/>
    <tableColumn id="10" name="Status"/>
    <tableColumn id="11" name="Depends on"/>
    <tableColumn id="12" name="Owner"/>
    <tableColumn id="13" name="Target date"/>
    <tableColumn id="14" name="Done date"/>
    <tableColumn id="15" name="Source"/>
    <tableColumn id="16" name="Notes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60" customWidth="1" min="3" max="3"/>
    <col width="12" customWidth="1" min="4" max="4"/>
    <col width="12" customWidth="1" min="5" max="5"/>
    <col width="8" customWidth="1" min="6" max="6"/>
    <col width="8" customWidth="1" min="7" max="7"/>
    <col width="11" customWidth="1" min="8" max="8"/>
    <col width="9" customWidth="1" min="9" max="9"/>
    <col width="8" customWidth="1" min="10" max="10"/>
    <col width="9" customWidth="1" min="11" max="11"/>
    <col width="13" customWidth="1" min="12" max="12"/>
  </cols>
  <sheetData>
    <row r="1">
      <c r="A1" s="1" t="inlineStr">
        <is>
          <t>StudyLog roadmap</t>
        </is>
      </c>
    </row>
    <row r="2">
      <c r="A2" s="2" t="inlineStr">
        <is>
          <t>Counts come from the Backlog sheet. Edit only the yellow cells (Timeframe, Target).</t>
        </is>
      </c>
    </row>
    <row r="4">
      <c r="A4" s="3" t="inlineStr">
        <is>
          <t>Milestone</t>
        </is>
      </c>
      <c r="B4" s="3" t="inlineStr">
        <is>
          <t>Name</t>
        </is>
      </c>
      <c r="C4" s="3" t="inlineStr">
        <is>
          <t>Goal</t>
        </is>
      </c>
      <c r="D4" s="3" t="inlineStr">
        <is>
          <t>Timeframe</t>
        </is>
      </c>
      <c r="E4" s="3" t="inlineStr">
        <is>
          <t>Target</t>
        </is>
      </c>
      <c r="F4" s="3" t="inlineStr">
        <is>
          <t>Items</t>
        </is>
      </c>
      <c r="G4" s="3" t="inlineStr">
        <is>
          <t>Done</t>
        </is>
      </c>
      <c r="H4" s="3" t="inlineStr">
        <is>
          <t>In progress</t>
        </is>
      </c>
      <c r="I4" s="3" t="inlineStr">
        <is>
          <t>Blocked</t>
        </is>
      </c>
      <c r="J4" s="3" t="inlineStr">
        <is>
          <t>Open</t>
        </is>
      </c>
      <c r="K4" s="3" t="inlineStr">
        <is>
          <t>% done</t>
        </is>
      </c>
      <c r="L4" s="3" t="inlineStr">
        <is>
          <t>Status</t>
        </is>
      </c>
    </row>
    <row r="5">
      <c r="A5" s="4" t="inlineStr">
        <is>
          <t>M0</t>
        </is>
      </c>
      <c r="B5" s="4" t="inlineStr">
        <is>
          <t>Foundations</t>
        </is>
      </c>
      <c r="C5" s="4" t="inlineStr">
        <is>
          <t>API, CLI, tests and the first web pages</t>
        </is>
      </c>
      <c r="D5" s="5" t="inlineStr">
        <is>
          <t>Done so far</t>
        </is>
      </c>
      <c r="E5" s="6" t="n"/>
      <c r="F5" s="4">
        <f>COUNTIFS(Backlog!$E$2:$E$500,$A5,Backlog!$J$2:$J$500,"&lt;&gt;Won't do")</f>
        <v/>
      </c>
      <c r="G5" s="4">
        <f>COUNTIFS(Backlog!$E$2:$E$500,$A5,Backlog!$J$2:$J$500,"Done")</f>
        <v/>
      </c>
      <c r="H5" s="4">
        <f>COUNTIFS(Backlog!$E$2:$E$500,$A5,Backlog!$J$2:$J$500,"In progress")</f>
        <v/>
      </c>
      <c r="I5" s="4">
        <f>COUNTIFS(Backlog!$E$2:$E$500,$A5,Backlog!$J$2:$J$500,"Blocked")</f>
        <v/>
      </c>
      <c r="J5" s="4">
        <f>F5-G5</f>
        <v/>
      </c>
      <c r="K5" s="7">
        <f>IF(F5=0,0,G5/F5)</f>
        <v/>
      </c>
      <c r="L5" s="4">
        <f>IF(F5=0,"Empty",IF(G5=F5,"Done",IF(G5+H5+I5&gt;0,"In progress","Not started")))</f>
        <v/>
      </c>
    </row>
    <row r="6">
      <c r="A6" s="4" t="inlineStr">
        <is>
          <t>M8</t>
        </is>
      </c>
      <c r="B6" s="4" t="inlineStr">
        <is>
          <t>Design system &amp; redesign</t>
        </is>
      </c>
      <c r="C6" s="4" t="inlineStr">
        <is>
          <t>Figma design system and screens, then the web app restyled to match them</t>
        </is>
      </c>
      <c r="D6" s="5" t="inlineStr">
        <is>
          <t>Done so far</t>
        </is>
      </c>
      <c r="E6" s="6" t="n"/>
      <c r="F6" s="4">
        <f>COUNTIFS(Backlog!$E$2:$E$500,$A6,Backlog!$J$2:$J$500,"&lt;&gt;Won't do")</f>
        <v/>
      </c>
      <c r="G6" s="4">
        <f>COUNTIFS(Backlog!$E$2:$E$500,$A6,Backlog!$J$2:$J$500,"Done")</f>
        <v/>
      </c>
      <c r="H6" s="4">
        <f>COUNTIFS(Backlog!$E$2:$E$500,$A6,Backlog!$J$2:$J$500,"In progress")</f>
        <v/>
      </c>
      <c r="I6" s="4">
        <f>COUNTIFS(Backlog!$E$2:$E$500,$A6,Backlog!$J$2:$J$500,"Blocked")</f>
        <v/>
      </c>
      <c r="J6" s="4">
        <f>F6-G6</f>
        <v/>
      </c>
      <c r="K6" s="7">
        <f>IF(F6=0,0,G6/F6)</f>
        <v/>
      </c>
      <c r="L6" s="4">
        <f>IF(F6=0,"Empty",IF(G6=F6,"Done",IF(G6+H6+I6&gt;0,"In progress","Not started")))</f>
        <v/>
      </c>
    </row>
    <row r="7">
      <c r="A7" s="4" t="inlineStr">
        <is>
          <t>M9</t>
        </is>
      </c>
      <c r="B7" s="4" t="inlineStr">
        <is>
          <t>Insights</t>
        </is>
      </c>
      <c r="C7" s="4" t="inlineStr">
        <is>
          <t>Analytics and Interview ready: APIs and pages</t>
        </is>
      </c>
      <c r="D7" s="5" t="inlineStr">
        <is>
          <t>Done so far</t>
        </is>
      </c>
      <c r="E7" s="6" t="n"/>
      <c r="F7" s="4">
        <f>COUNTIFS(Backlog!$E$2:$E$500,$A7,Backlog!$J$2:$J$500,"&lt;&gt;Won't do")</f>
        <v/>
      </c>
      <c r="G7" s="4">
        <f>COUNTIFS(Backlog!$E$2:$E$500,$A7,Backlog!$J$2:$J$500,"Done")</f>
        <v/>
      </c>
      <c r="H7" s="4">
        <f>COUNTIFS(Backlog!$E$2:$E$500,$A7,Backlog!$J$2:$J$500,"In progress")</f>
        <v/>
      </c>
      <c r="I7" s="4">
        <f>COUNTIFS(Backlog!$E$2:$E$500,$A7,Backlog!$J$2:$J$500,"Blocked")</f>
        <v/>
      </c>
      <c r="J7" s="4">
        <f>F7-G7</f>
        <v/>
      </c>
      <c r="K7" s="7">
        <f>IF(F7=0,0,G7/F7)</f>
        <v/>
      </c>
      <c r="L7" s="4">
        <f>IF(F7=0,"Empty",IF(G7=F7,"Done",IF(G7+H7+I7&gt;0,"In progress","Not started")))</f>
        <v/>
      </c>
    </row>
    <row r="8">
      <c r="A8" s="4" t="inlineStr">
        <is>
          <t>M1</t>
        </is>
      </c>
      <c r="B8" s="4" t="inlineStr">
        <is>
          <t>Web: core study loop</t>
        </is>
      </c>
      <c r="C8" s="4" t="inlineStr">
        <is>
          <t>A learner can find a path, enroll, study and manage it entirely from the web app</t>
        </is>
      </c>
      <c r="D8" s="5" t="inlineStr">
        <is>
          <t>Done so far</t>
        </is>
      </c>
      <c r="E8" s="6" t="n"/>
      <c r="F8" s="4">
        <f>COUNTIFS(Backlog!$E$2:$E$500,$A8,Backlog!$J$2:$J$500,"&lt;&gt;Won't do")</f>
        <v/>
      </c>
      <c r="G8" s="4">
        <f>COUNTIFS(Backlog!$E$2:$E$500,$A8,Backlog!$J$2:$J$500,"Done")</f>
        <v/>
      </c>
      <c r="H8" s="4">
        <f>COUNTIFS(Backlog!$E$2:$E$500,$A8,Backlog!$J$2:$J$500,"In progress")</f>
        <v/>
      </c>
      <c r="I8" s="4">
        <f>COUNTIFS(Backlog!$E$2:$E$500,$A8,Backlog!$J$2:$J$500,"Blocked")</f>
        <v/>
      </c>
      <c r="J8" s="4">
        <f>F8-G8</f>
        <v/>
      </c>
      <c r="K8" s="7">
        <f>IF(F8=0,0,G8/F8)</f>
        <v/>
      </c>
      <c r="L8" s="4">
        <f>IF(F8=0,"Empty",IF(G8=F8,"Done",IF(G8+H8+I8&gt;0,"In progress","Not started")))</f>
        <v/>
      </c>
    </row>
    <row r="9">
      <c r="A9" s="4" t="inlineStr">
        <is>
          <t>M2</t>
        </is>
      </c>
      <c r="B9" s="4" t="inlineStr">
        <is>
          <t>Production launch</t>
        </is>
      </c>
      <c r="C9" s="4" t="inlineStr">
        <is>
          <t>CI, deployment and monitoring so the app can run for real users</t>
        </is>
      </c>
      <c r="D9" s="5" t="inlineStr">
        <is>
          <t>Next</t>
        </is>
      </c>
      <c r="E9" s="6" t="n"/>
      <c r="F9" s="4">
        <f>COUNTIFS(Backlog!$E$2:$E$500,$A9,Backlog!$J$2:$J$500,"&lt;&gt;Won't do")</f>
        <v/>
      </c>
      <c r="G9" s="4">
        <f>COUNTIFS(Backlog!$E$2:$E$500,$A9,Backlog!$J$2:$J$500,"Done")</f>
        <v/>
      </c>
      <c r="H9" s="4">
        <f>COUNTIFS(Backlog!$E$2:$E$500,$A9,Backlog!$J$2:$J$500,"In progress")</f>
        <v/>
      </c>
      <c r="I9" s="4">
        <f>COUNTIFS(Backlog!$E$2:$E$500,$A9,Backlog!$J$2:$J$500,"Blocked")</f>
        <v/>
      </c>
      <c r="J9" s="4">
        <f>F9-G9</f>
        <v/>
      </c>
      <c r="K9" s="7">
        <f>IF(F9=0,0,G9/F9)</f>
        <v/>
      </c>
      <c r="L9" s="4">
        <f>IF(F9=0,"Empty",IF(G9=F9,"Done",IF(G9+H9+I9&gt;0,"In progress","Not started")))</f>
        <v/>
      </c>
    </row>
    <row r="10">
      <c r="A10" s="4" t="inlineStr">
        <is>
          <t>M3</t>
        </is>
      </c>
      <c r="B10" s="4" t="inlineStr">
        <is>
          <t>Email &amp; accounts</t>
        </is>
      </c>
      <c r="C10" s="4" t="inlineStr">
        <is>
          <t>Email provider plus everything that needs email codes</t>
        </is>
      </c>
      <c r="D10" s="5" t="inlineStr">
        <is>
          <t>Done so far</t>
        </is>
      </c>
      <c r="E10" s="6" t="n"/>
      <c r="F10" s="4">
        <f>COUNTIFS(Backlog!$E$2:$E$500,$A10,Backlog!$J$2:$J$500,"&lt;&gt;Won't do")</f>
        <v/>
      </c>
      <c r="G10" s="4">
        <f>COUNTIFS(Backlog!$E$2:$E$500,$A10,Backlog!$J$2:$J$500,"Done")</f>
        <v/>
      </c>
      <c r="H10" s="4">
        <f>COUNTIFS(Backlog!$E$2:$E$500,$A10,Backlog!$J$2:$J$500,"In progress")</f>
        <v/>
      </c>
      <c r="I10" s="4">
        <f>COUNTIFS(Backlog!$E$2:$E$500,$A10,Backlog!$J$2:$J$500,"Blocked")</f>
        <v/>
      </c>
      <c r="J10" s="4">
        <f>F10-G10</f>
        <v/>
      </c>
      <c r="K10" s="7">
        <f>IF(F10=0,0,G10/F10)</f>
        <v/>
      </c>
      <c r="L10" s="4">
        <f>IF(F10=0,"Empty",IF(G10=F10,"Done",IF(G10+H10+I10&gt;0,"In progress","Not started")))</f>
        <v/>
      </c>
    </row>
    <row r="11">
      <c r="A11" s="4" t="inlineStr">
        <is>
          <t>M4</t>
        </is>
      </c>
      <c r="B11" s="4" t="inlineStr">
        <is>
          <t>Teams &amp; creators (web)</t>
        </is>
      </c>
      <c r="C11" s="4" t="inlineStr">
        <is>
          <t>Web screens for organizations, building your own paths, admin and moderation</t>
        </is>
      </c>
      <c r="D11" s="5" t="inlineStr">
        <is>
          <t>Done so far</t>
        </is>
      </c>
      <c r="E11" s="6" t="n"/>
      <c r="F11" s="4">
        <f>COUNTIFS(Backlog!$E$2:$E$500,$A11,Backlog!$J$2:$J$500,"&lt;&gt;Won't do")</f>
        <v/>
      </c>
      <c r="G11" s="4">
        <f>COUNTIFS(Backlog!$E$2:$E$500,$A11,Backlog!$J$2:$J$500,"Done")</f>
        <v/>
      </c>
      <c r="H11" s="4">
        <f>COUNTIFS(Backlog!$E$2:$E$500,$A11,Backlog!$J$2:$J$500,"In progress")</f>
        <v/>
      </c>
      <c r="I11" s="4">
        <f>COUNTIFS(Backlog!$E$2:$E$500,$A11,Backlog!$J$2:$J$500,"Blocked")</f>
        <v/>
      </c>
      <c r="J11" s="4">
        <f>F11-G11</f>
        <v/>
      </c>
      <c r="K11" s="7">
        <f>IF(F11=0,0,G11/F11)</f>
        <v/>
      </c>
      <c r="L11" s="4">
        <f>IF(F11=0,"Empty",IF(G11=F11,"Done",IF(G11+H11+I11&gt;0,"In progress","Not started")))</f>
        <v/>
      </c>
    </row>
    <row r="12">
      <c r="A12" s="4" t="inlineStr">
        <is>
          <t>M5</t>
        </is>
      </c>
      <c r="B12" s="4" t="inlineStr">
        <is>
          <t>Engagement &amp; scale</t>
        </is>
      </c>
      <c r="C12" s="4" t="inlineStr">
        <is>
          <t>Reminders, export, pagination and performance as usage grows</t>
        </is>
      </c>
      <c r="D12" s="5" t="inlineStr">
        <is>
          <t>Later</t>
        </is>
      </c>
      <c r="E12" s="6" t="n"/>
      <c r="F12" s="4">
        <f>COUNTIFS(Backlog!$E$2:$E$500,$A12,Backlog!$J$2:$J$500,"&lt;&gt;Won't do")</f>
        <v/>
      </c>
      <c r="G12" s="4">
        <f>COUNTIFS(Backlog!$E$2:$E$500,$A12,Backlog!$J$2:$J$500,"Done")</f>
        <v/>
      </c>
      <c r="H12" s="4">
        <f>COUNTIFS(Backlog!$E$2:$E$500,$A12,Backlog!$J$2:$J$500,"In progress")</f>
        <v/>
      </c>
      <c r="I12" s="4">
        <f>COUNTIFS(Backlog!$E$2:$E$500,$A12,Backlog!$J$2:$J$500,"Blocked")</f>
        <v/>
      </c>
      <c r="J12" s="4">
        <f>F12-G12</f>
        <v/>
      </c>
      <c r="K12" s="7">
        <f>IF(F12=0,0,G12/F12)</f>
        <v/>
      </c>
      <c r="L12" s="4">
        <f>IF(F12=0,"Empty",IF(G12=F12,"Done",IF(G12+H12+I12&gt;0,"In progress","Not started")))</f>
        <v/>
      </c>
    </row>
    <row r="13">
      <c r="A13" s="4" t="inlineStr">
        <is>
          <t>M6</t>
        </is>
      </c>
      <c r="B13" s="4" t="inlineStr">
        <is>
          <t>Quality &amp; docs</t>
        </is>
      </c>
      <c r="C13" s="4" t="inlineStr">
        <is>
          <t>Stronger tests and documentation</t>
        </is>
      </c>
      <c r="D13" s="5" t="inlineStr">
        <is>
          <t>Ongoing</t>
        </is>
      </c>
      <c r="E13" s="6" t="n"/>
      <c r="F13" s="4">
        <f>COUNTIFS(Backlog!$E$2:$E$500,$A13,Backlog!$J$2:$J$500,"&lt;&gt;Won't do")</f>
        <v/>
      </c>
      <c r="G13" s="4">
        <f>COUNTIFS(Backlog!$E$2:$E$500,$A13,Backlog!$J$2:$J$500,"Done")</f>
        <v/>
      </c>
      <c r="H13" s="4">
        <f>COUNTIFS(Backlog!$E$2:$E$500,$A13,Backlog!$J$2:$J$500,"In progress")</f>
        <v/>
      </c>
      <c r="I13" s="4">
        <f>COUNTIFS(Backlog!$E$2:$E$500,$A13,Backlog!$J$2:$J$500,"Blocked")</f>
        <v/>
      </c>
      <c r="J13" s="4">
        <f>F13-G13</f>
        <v/>
      </c>
      <c r="K13" s="7">
        <f>IF(F13=0,0,G13/F13)</f>
        <v/>
      </c>
      <c r="L13" s="4">
        <f>IF(F13=0,"Empty",IF(G13=F13,"Done",IF(G13+H13+I13&gt;0,"In progress","Not started")))</f>
        <v/>
      </c>
    </row>
    <row r="14">
      <c r="A14" s="4" t="inlineStr">
        <is>
          <t>M7</t>
        </is>
      </c>
      <c r="B14" s="4" t="inlineStr">
        <is>
          <t>Mobile app</t>
        </is>
      </c>
      <c r="C14" s="4" t="inlineStr">
        <is>
          <t>A mobile app on the same API and schemas</t>
        </is>
      </c>
      <c r="D14" s="5" t="inlineStr">
        <is>
          <t>Later</t>
        </is>
      </c>
      <c r="E14" s="6" t="n"/>
      <c r="F14" s="4">
        <f>COUNTIFS(Backlog!$E$2:$E$500,$A14,Backlog!$J$2:$J$500,"&lt;&gt;Won't do")</f>
        <v/>
      </c>
      <c r="G14" s="4">
        <f>COUNTIFS(Backlog!$E$2:$E$500,$A14,Backlog!$J$2:$J$500,"Done")</f>
        <v/>
      </c>
      <c r="H14" s="4">
        <f>COUNTIFS(Backlog!$E$2:$E$500,$A14,Backlog!$J$2:$J$500,"In progress")</f>
        <v/>
      </c>
      <c r="I14" s="4">
        <f>COUNTIFS(Backlog!$E$2:$E$500,$A14,Backlog!$J$2:$J$500,"Blocked")</f>
        <v/>
      </c>
      <c r="J14" s="4">
        <f>F14-G14</f>
        <v/>
      </c>
      <c r="K14" s="7">
        <f>IF(F14=0,0,G14/F14)</f>
        <v/>
      </c>
      <c r="L14" s="4">
        <f>IF(F14=0,"Empty",IF(G14=F14,"Done",IF(G14+H14+I14&gt;0,"In progress","Not started")))</f>
        <v/>
      </c>
    </row>
    <row r="15">
      <c r="A15" s="4" t="inlineStr">
        <is>
          <t>M10</t>
        </is>
      </c>
      <c r="B15" s="4" t="inlineStr">
        <is>
          <t>Platform admin</t>
        </is>
      </c>
      <c r="C15" s="4" t="inlineStr">
        <is>
          <t>Superadmin tools to run the platform: users, an overview, organizations and an audit log</t>
        </is>
      </c>
      <c r="D15" s="5" t="inlineStr">
        <is>
          <t>Next</t>
        </is>
      </c>
      <c r="E15" s="6" t="n"/>
      <c r="F15" s="4">
        <f>COUNTIFS(Backlog!$E$2:$E$500,$A15,Backlog!$J$2:$J$500,"&lt;&gt;Won't do")</f>
        <v/>
      </c>
      <c r="G15" s="4">
        <f>COUNTIFS(Backlog!$E$2:$E$500,$A15,Backlog!$J$2:$J$500,"Done")</f>
        <v/>
      </c>
      <c r="H15" s="4">
        <f>COUNTIFS(Backlog!$E$2:$E$500,$A15,Backlog!$J$2:$J$500,"In progress")</f>
        <v/>
      </c>
      <c r="I15" s="4">
        <f>COUNTIFS(Backlog!$E$2:$E$500,$A15,Backlog!$J$2:$J$500,"Blocked")</f>
        <v/>
      </c>
      <c r="J15" s="4">
        <f>F15-G15</f>
        <v/>
      </c>
      <c r="K15" s="7">
        <f>IF(F15=0,0,G15/F15)</f>
        <v/>
      </c>
      <c r="L15" s="4">
        <f>IF(F15=0,"Empty",IF(G15=F15,"Done",IF(G15+H15+I15&gt;0,"In progress","Not started")))</f>
        <v/>
      </c>
    </row>
    <row r="16">
      <c r="A16" s="4" t="inlineStr">
        <is>
          <t>M11</t>
        </is>
      </c>
      <c r="B16" s="4" t="inlineStr">
        <is>
          <t>Launch &amp; growth</t>
        </is>
      </c>
      <c r="C16" s="4" t="inlineStr">
        <is>
          <t>The first users: official paths to study, outreach, feedback and the numbers that show what works</t>
        </is>
      </c>
      <c r="D16" s="5" t="inlineStr">
        <is>
          <t>Next</t>
        </is>
      </c>
      <c r="E16" s="6" t="n"/>
      <c r="F16" s="4">
        <f>COUNTIFS(Backlog!$E$2:$E$500,$A16,Backlog!$J$2:$J$500,"&lt;&gt;Won't do")</f>
        <v/>
      </c>
      <c r="G16" s="4">
        <f>COUNTIFS(Backlog!$E$2:$E$500,$A16,Backlog!$J$2:$J$500,"Done")</f>
        <v/>
      </c>
      <c r="H16" s="4">
        <f>COUNTIFS(Backlog!$E$2:$E$500,$A16,Backlog!$J$2:$J$500,"In progress")</f>
        <v/>
      </c>
      <c r="I16" s="4">
        <f>COUNTIFS(Backlog!$E$2:$E$500,$A16,Backlog!$J$2:$J$500,"Blocked")</f>
        <v/>
      </c>
      <c r="J16" s="4">
        <f>F16-G16</f>
        <v/>
      </c>
      <c r="K16" s="7">
        <f>IF(F16=0,0,G16/F16)</f>
        <v/>
      </c>
      <c r="L16" s="4">
        <f>IF(F16=0,"Empty",IF(G16=F16,"Done",IF(G16+H16+I16&gt;0,"In progress","Not started")))</f>
        <v/>
      </c>
    </row>
    <row r="17">
      <c r="A17" s="8" t="inlineStr">
        <is>
          <t>Total</t>
        </is>
      </c>
      <c r="B17" s="9" t="n"/>
      <c r="C17" s="9" t="n"/>
      <c r="D17" s="9" t="n"/>
      <c r="E17" s="9" t="n"/>
      <c r="F17" s="8">
        <f>SUM(F5:F16)</f>
        <v/>
      </c>
      <c r="G17" s="8">
        <f>SUM(G5:G16)</f>
        <v/>
      </c>
      <c r="H17" s="8">
        <f>SUM(H5:H16)</f>
        <v/>
      </c>
      <c r="I17" s="8">
        <f>SUM(I5:I16)</f>
        <v/>
      </c>
      <c r="J17" s="8">
        <f>SUM(J5:J16)</f>
        <v/>
      </c>
      <c r="K17" s="10">
        <f>IF(F17=0,0,G17/F17)</f>
        <v/>
      </c>
      <c r="L17" s="9" t="n"/>
    </row>
  </sheetData>
  <conditionalFormatting sqref="L5:L16">
    <cfRule type="expression" priority="1" dxfId="0">
      <formula>$L5="Done"</formula>
    </cfRule>
    <cfRule type="expression" priority="2" dxfId="1">
      <formula>$L5="In progress"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60" customWidth="1" min="3" max="3"/>
    <col width="12" customWidth="1" min="4" max="4"/>
    <col width="10" customWidth="1" min="5" max="5"/>
    <col width="24" customWidth="1" min="6" max="6"/>
    <col width="10" customWidth="1" min="7" max="7"/>
    <col width="9" customWidth="1" min="8" max="8"/>
    <col width="7" customWidth="1" min="9" max="9"/>
    <col width="13" customWidth="1" min="10" max="10"/>
    <col width="11" customWidth="1" min="11" max="11"/>
    <col width="12" customWidth="1" min="12" max="12"/>
    <col width="12" customWidth="1" min="13" max="13"/>
    <col width="12" customWidth="1" min="14" max="14"/>
    <col width="16" customWidth="1" min="15" max="15"/>
    <col width="40" customWidth="1" min="16" max="16"/>
  </cols>
  <sheetData>
    <row r="1">
      <c r="A1" s="11" t="inlineStr">
        <is>
          <t>ID</t>
        </is>
      </c>
      <c r="B1" s="11" t="inlineStr">
        <is>
          <t>Title</t>
        </is>
      </c>
      <c r="C1" s="11" t="inlineStr">
        <is>
          <t>Description</t>
        </is>
      </c>
      <c r="D1" s="11" t="inlineStr">
        <is>
          <t>Area</t>
        </is>
      </c>
      <c r="E1" s="11" t="inlineStr">
        <is>
          <t>Milestone</t>
        </is>
      </c>
      <c r="F1" s="11" t="inlineStr">
        <is>
          <t>Milestone name</t>
        </is>
      </c>
      <c r="G1" s="11" t="inlineStr">
        <is>
          <t>Type</t>
        </is>
      </c>
      <c r="H1" s="11" t="inlineStr">
        <is>
          <t>Priority</t>
        </is>
      </c>
      <c r="I1" s="11" t="inlineStr">
        <is>
          <t>Size</t>
        </is>
      </c>
      <c r="J1" s="11" t="inlineStr">
        <is>
          <t>Status</t>
        </is>
      </c>
      <c r="K1" s="11" t="inlineStr">
        <is>
          <t>Depends on</t>
        </is>
      </c>
      <c r="L1" s="11" t="inlineStr">
        <is>
          <t>Owner</t>
        </is>
      </c>
      <c r="M1" s="11" t="inlineStr">
        <is>
          <t>Target date</t>
        </is>
      </c>
      <c r="N1" s="11" t="inlineStr">
        <is>
          <t>Done date</t>
        </is>
      </c>
      <c r="O1" s="11" t="inlineStr">
        <is>
          <t>Source</t>
        </is>
      </c>
      <c r="P1" s="11" t="inlineStr">
        <is>
          <t>Notes</t>
        </is>
      </c>
    </row>
    <row r="2">
      <c r="A2" s="4" t="inlineStr">
        <is>
          <t>SL-001</t>
        </is>
      </c>
      <c r="B2" s="4" t="inlineStr">
        <is>
          <t>Monorepo, API and shared packages</t>
        </is>
      </c>
      <c r="C2" s="4" t="inlineStr">
        <is>
          <t>Turborepo + Yarn workspaces; NestJS API; schemas, casl, database, logger, nestjs packages</t>
        </is>
      </c>
      <c r="D2" s="4" t="inlineStr">
        <is>
          <t>Backend</t>
        </is>
      </c>
      <c r="E2" s="4" t="inlineStr">
        <is>
          <t>M0</t>
        </is>
      </c>
      <c r="F2" s="4">
        <f>IFERROR(INDEX(Roadmap!$B$5:$B$16,MATCH(E2,Roadmap!$A$5:$A$16,0)),"")</f>
        <v/>
      </c>
      <c r="G2" s="4" t="inlineStr">
        <is>
          <t>Feature</t>
        </is>
      </c>
      <c r="H2" s="4" t="inlineStr">
        <is>
          <t>P1</t>
        </is>
      </c>
      <c r="I2" s="4" t="inlineStr">
        <is>
          <t>XL</t>
        </is>
      </c>
      <c r="J2" s="4" t="inlineStr">
        <is>
          <t>Done</t>
        </is>
      </c>
      <c r="K2" s="4" t="inlineStr"/>
      <c r="L2" s="4" t="inlineStr"/>
      <c r="M2" s="12" t="n"/>
      <c r="N2" s="12" t="n">
        <v>46290</v>
      </c>
      <c r="O2" s="4" t="inlineStr">
        <is>
          <t>README roadmap</t>
        </is>
      </c>
      <c r="P2" s="4" t="inlineStr"/>
    </row>
    <row r="3">
      <c r="A3" s="4" t="inlineStr">
        <is>
          <t>SL-002</t>
        </is>
      </c>
      <c r="B3" s="4" t="inlineStr">
        <is>
          <t>Organizations, accounts and moderation API</t>
        </is>
      </c>
      <c r="C3" s="4" t="inlineStr">
        <is>
          <t>Organization management, account settings, path reports and moderation</t>
        </is>
      </c>
      <c r="D3" s="4" t="inlineStr">
        <is>
          <t>Backend</t>
        </is>
      </c>
      <c r="E3" s="4" t="inlineStr">
        <is>
          <t>M0</t>
        </is>
      </c>
      <c r="F3" s="4">
        <f>IFERROR(INDEX(Roadmap!$B$5:$B$16,MATCH(E3,Roadmap!$A$5:$A$16,0)),"")</f>
        <v/>
      </c>
      <c r="G3" s="4" t="inlineStr">
        <is>
          <t>Feature</t>
        </is>
      </c>
      <c r="H3" s="4" t="inlineStr">
        <is>
          <t>P1</t>
        </is>
      </c>
      <c r="I3" s="4" t="inlineStr">
        <is>
          <t>L</t>
        </is>
      </c>
      <c r="J3" s="4" t="inlineStr">
        <is>
          <t>Done</t>
        </is>
      </c>
      <c r="K3" s="4" t="inlineStr"/>
      <c r="L3" s="4" t="inlineStr"/>
      <c r="M3" s="12" t="n"/>
      <c r="N3" s="12" t="n">
        <v>46290</v>
      </c>
      <c r="O3" s="4" t="inlineStr">
        <is>
          <t>README roadmap</t>
        </is>
      </c>
      <c r="P3" s="4" t="inlineStr"/>
    </row>
    <row r="4">
      <c r="A4" s="4" t="inlineStr">
        <is>
          <t>SL-003</t>
        </is>
      </c>
      <c r="B4" s="4" t="inlineStr">
        <is>
          <t>Migration CLI</t>
        </is>
      </c>
      <c r="C4" s="4" t="inlineStr">
        <is>
          <t>migration:generate/run/revert/show via nest-commander</t>
        </is>
      </c>
      <c r="D4" s="4" t="inlineStr">
        <is>
          <t>Tooling</t>
        </is>
      </c>
      <c r="E4" s="4" t="inlineStr">
        <is>
          <t>M0</t>
        </is>
      </c>
      <c r="F4" s="4">
        <f>IFERROR(INDEX(Roadmap!$B$5:$B$16,MATCH(E4,Roadmap!$A$5:$A$16,0)),"")</f>
        <v/>
      </c>
      <c r="G4" s="4" t="inlineStr">
        <is>
          <t>Feature</t>
        </is>
      </c>
      <c r="H4" s="4" t="inlineStr">
        <is>
          <t>P1</t>
        </is>
      </c>
      <c r="I4" s="4" t="inlineStr">
        <is>
          <t>M</t>
        </is>
      </c>
      <c r="J4" s="4" t="inlineStr">
        <is>
          <t>Done</t>
        </is>
      </c>
      <c r="K4" s="4" t="inlineStr"/>
      <c r="L4" s="4" t="inlineStr"/>
      <c r="M4" s="12" t="n"/>
      <c r="N4" s="12" t="n">
        <v>46290</v>
      </c>
      <c r="O4" s="4" t="inlineStr">
        <is>
          <t>README roadmap</t>
        </is>
      </c>
      <c r="P4" s="4" t="inlineStr"/>
    </row>
    <row r="5">
      <c r="A5" s="4" t="inlineStr">
        <is>
          <t>SL-004</t>
        </is>
      </c>
      <c r="B5" s="4" t="inlineStr">
        <is>
          <t>Unit tests, 100% coverage and mutation testing</t>
        </is>
      </c>
      <c r="C5" s="4" t="inlineStr">
        <is>
          <t>Vitest everywhere, combined coverage report, Stryker</t>
        </is>
      </c>
      <c r="D5" s="4" t="inlineStr">
        <is>
          <t>Testing</t>
        </is>
      </c>
      <c r="E5" s="4" t="inlineStr">
        <is>
          <t>M0</t>
        </is>
      </c>
      <c r="F5" s="4">
        <f>IFERROR(INDEX(Roadmap!$B$5:$B$16,MATCH(E5,Roadmap!$A$5:$A$16,0)),"")</f>
        <v/>
      </c>
      <c r="G5" s="4" t="inlineStr">
        <is>
          <t>Chore</t>
        </is>
      </c>
      <c r="H5" s="4" t="inlineStr">
        <is>
          <t>P1</t>
        </is>
      </c>
      <c r="I5" s="4" t="inlineStr">
        <is>
          <t>L</t>
        </is>
      </c>
      <c r="J5" s="4" t="inlineStr">
        <is>
          <t>Done</t>
        </is>
      </c>
      <c r="K5" s="4" t="inlineStr"/>
      <c r="L5" s="4" t="inlineStr"/>
      <c r="M5" s="12" t="n"/>
      <c r="N5" s="12" t="n">
        <v>46291</v>
      </c>
      <c r="O5" s="4" t="inlineStr">
        <is>
          <t>README roadmap</t>
        </is>
      </c>
      <c r="P5" s="4" t="inlineStr"/>
    </row>
    <row r="6">
      <c r="A6" s="4" t="inlineStr">
        <is>
          <t>SL-005</t>
        </is>
      </c>
      <c r="B6" s="4" t="inlineStr">
        <is>
          <t>Web app with homepage, login and session handling</t>
        </is>
      </c>
      <c r="C6" s="4" t="inlineStr">
        <is>
          <t>React + Vite app, API client, session restored from refresh cookie</t>
        </is>
      </c>
      <c r="D6" s="4" t="inlineStr">
        <is>
          <t>Frontend</t>
        </is>
      </c>
      <c r="E6" s="4" t="inlineStr">
        <is>
          <t>M0</t>
        </is>
      </c>
      <c r="F6" s="4">
        <f>IFERROR(INDEX(Roadmap!$B$5:$B$16,MATCH(E6,Roadmap!$A$5:$A$16,0)),"")</f>
        <v/>
      </c>
      <c r="G6" s="4" t="inlineStr">
        <is>
          <t>Feature</t>
        </is>
      </c>
      <c r="H6" s="4" t="inlineStr">
        <is>
          <t>P1</t>
        </is>
      </c>
      <c r="I6" s="4" t="inlineStr">
        <is>
          <t>M</t>
        </is>
      </c>
      <c r="J6" s="4" t="inlineStr">
        <is>
          <t>Done</t>
        </is>
      </c>
      <c r="K6" s="4" t="inlineStr"/>
      <c r="L6" s="4" t="inlineStr"/>
      <c r="M6" s="12" t="n"/>
      <c r="N6" s="12" t="n">
        <v>46291</v>
      </c>
      <c r="O6" s="4" t="inlineStr">
        <is>
          <t>README roadmap</t>
        </is>
      </c>
      <c r="P6" s="4" t="inlineStr"/>
    </row>
    <row r="7">
      <c r="A7" s="4" t="inlineStr">
        <is>
          <t>SL-006</t>
        </is>
      </c>
      <c r="B7" s="4" t="inlineStr">
        <is>
          <t>Signup page</t>
        </is>
      </c>
      <c r="C7" s="4" t="inlineStr">
        <is>
          <t>/signup with client-side checks and API errors on fields</t>
        </is>
      </c>
      <c r="D7" s="4" t="inlineStr">
        <is>
          <t>Frontend</t>
        </is>
      </c>
      <c r="E7" s="4" t="inlineStr">
        <is>
          <t>M0</t>
        </is>
      </c>
      <c r="F7" s="4">
        <f>IFERROR(INDEX(Roadmap!$B$5:$B$16,MATCH(E7,Roadmap!$A$5:$A$16,0)),"")</f>
        <v/>
      </c>
      <c r="G7" s="4" t="inlineStr">
        <is>
          <t>Feature</t>
        </is>
      </c>
      <c r="H7" s="4" t="inlineStr">
        <is>
          <t>P1</t>
        </is>
      </c>
      <c r="I7" s="4" t="inlineStr">
        <is>
          <t>S</t>
        </is>
      </c>
      <c r="J7" s="4" t="inlineStr">
        <is>
          <t>Done</t>
        </is>
      </c>
      <c r="K7" s="4" t="inlineStr"/>
      <c r="L7" s="4" t="inlineStr"/>
      <c r="M7" s="12" t="n"/>
      <c r="N7" s="12" t="n">
        <v>46293</v>
      </c>
      <c r="O7" s="4" t="inlineStr">
        <is>
          <t>README roadmap</t>
        </is>
      </c>
      <c r="P7" s="4" t="inlineStr"/>
    </row>
    <row r="8">
      <c r="A8" s="4" t="inlineStr">
        <is>
          <t>SL-007</t>
        </is>
      </c>
      <c r="B8" s="4" t="inlineStr">
        <is>
          <t>Automatic access-token renewal</t>
        </is>
      </c>
      <c r="C8" s="4" t="inlineStr">
        <is>
          <t>Retry once after POST /auth/refresh on a 401 with WWW-Authenticate: Bearer</t>
        </is>
      </c>
      <c r="D8" s="4" t="inlineStr">
        <is>
          <t>Frontend</t>
        </is>
      </c>
      <c r="E8" s="4" t="inlineStr">
        <is>
          <t>M0</t>
        </is>
      </c>
      <c r="F8" s="4">
        <f>IFERROR(INDEX(Roadmap!$B$5:$B$16,MATCH(E8,Roadmap!$A$5:$A$16,0)),"")</f>
        <v/>
      </c>
      <c r="G8" s="4" t="inlineStr">
        <is>
          <t>Feature</t>
        </is>
      </c>
      <c r="H8" s="4" t="inlineStr">
        <is>
          <t>P1</t>
        </is>
      </c>
      <c r="I8" s="4" t="inlineStr">
        <is>
          <t>S</t>
        </is>
      </c>
      <c r="J8" s="4" t="inlineStr">
        <is>
          <t>Done</t>
        </is>
      </c>
      <c r="K8" s="4" t="inlineStr"/>
      <c r="L8" s="4" t="inlineStr"/>
      <c r="M8" s="12" t="n"/>
      <c r="N8" s="12" t="n">
        <v>46294</v>
      </c>
      <c r="O8" s="4" t="inlineStr">
        <is>
          <t>README roadmap</t>
        </is>
      </c>
      <c r="P8" s="4" t="inlineStr"/>
    </row>
    <row r="9">
      <c r="A9" s="4" t="inlineStr">
        <is>
          <t>SL-008</t>
        </is>
      </c>
      <c r="B9" s="4" t="inlineStr">
        <is>
          <t>db:seed dummy data</t>
        </is>
      </c>
      <c r="C9" s="4" t="inlineStr">
        <is>
          <t>Users, organizations, catalog, enrollments, progress and a month of sessions</t>
        </is>
      </c>
      <c r="D9" s="4" t="inlineStr">
        <is>
          <t>Tooling</t>
        </is>
      </c>
      <c r="E9" s="4" t="inlineStr">
        <is>
          <t>M0</t>
        </is>
      </c>
      <c r="F9" s="4">
        <f>IFERROR(INDEX(Roadmap!$B$5:$B$16,MATCH(E9,Roadmap!$A$5:$A$16,0)),"")</f>
        <v/>
      </c>
      <c r="G9" s="4" t="inlineStr">
        <is>
          <t>Feature</t>
        </is>
      </c>
      <c r="H9" s="4" t="inlineStr">
        <is>
          <t>P2</t>
        </is>
      </c>
      <c r="I9" s="4" t="inlineStr">
        <is>
          <t>M</t>
        </is>
      </c>
      <c r="J9" s="4" t="inlineStr">
        <is>
          <t>Done</t>
        </is>
      </c>
      <c r="K9" s="4" t="inlineStr"/>
      <c r="L9" s="4" t="inlineStr"/>
      <c r="M9" s="12" t="n"/>
      <c r="N9" s="12" t="n">
        <v>46294</v>
      </c>
      <c r="O9" s="4" t="inlineStr">
        <is>
          <t>README roadmap</t>
        </is>
      </c>
      <c r="P9" s="4" t="inlineStr"/>
    </row>
    <row r="10">
      <c r="A10" s="4" t="inlineStr">
        <is>
          <t>SL-009</t>
        </is>
      </c>
      <c r="B10" s="4" t="inlineStr">
        <is>
          <t>Dashboard at /app</t>
        </is>
      </c>
      <c r="C10" s="4" t="inlineStr">
        <is>
          <t>Stats, streak, last 30 days, paths with progress, recent sessions</t>
        </is>
      </c>
      <c r="D10" s="4" t="inlineStr">
        <is>
          <t>Frontend</t>
        </is>
      </c>
      <c r="E10" s="4" t="inlineStr">
        <is>
          <t>M0</t>
        </is>
      </c>
      <c r="F10" s="4">
        <f>IFERROR(INDEX(Roadmap!$B$5:$B$16,MATCH(E10,Roadmap!$A$5:$A$16,0)),"")</f>
        <v/>
      </c>
      <c r="G10" s="4" t="inlineStr">
        <is>
          <t>Feature</t>
        </is>
      </c>
      <c r="H10" s="4" t="inlineStr">
        <is>
          <t>P1</t>
        </is>
      </c>
      <c r="I10" s="4" t="inlineStr">
        <is>
          <t>M</t>
        </is>
      </c>
      <c r="J10" s="4" t="inlineStr">
        <is>
          <t>Done</t>
        </is>
      </c>
      <c r="K10" s="4" t="inlineStr"/>
      <c r="L10" s="4" t="inlineStr"/>
      <c r="M10" s="12" t="n"/>
      <c r="N10" s="12" t="n">
        <v>46294</v>
      </c>
      <c r="O10" s="4" t="inlineStr">
        <is>
          <t>README roadmap</t>
        </is>
      </c>
      <c r="P10" s="4" t="inlineStr"/>
    </row>
    <row r="11">
      <c r="A11" s="4" t="inlineStr">
        <is>
          <t>SL-010</t>
        </is>
      </c>
      <c r="B11" s="4" t="inlineStr">
        <is>
          <t>Study sessions page at /app/sessions</t>
        </is>
      </c>
      <c r="C11" s="4" t="inlineStr">
        <is>
          <t>History by day; log, edit and delete sessions</t>
        </is>
      </c>
      <c r="D11" s="4" t="inlineStr">
        <is>
          <t>Frontend</t>
        </is>
      </c>
      <c r="E11" s="4" t="inlineStr">
        <is>
          <t>M0</t>
        </is>
      </c>
      <c r="F11" s="4">
        <f>IFERROR(INDEX(Roadmap!$B$5:$B$16,MATCH(E11,Roadmap!$A$5:$A$16,0)),"")</f>
        <v/>
      </c>
      <c r="G11" s="4" t="inlineStr">
        <is>
          <t>Feature</t>
        </is>
      </c>
      <c r="H11" s="4" t="inlineStr">
        <is>
          <t>P1</t>
        </is>
      </c>
      <c r="I11" s="4" t="inlineStr">
        <is>
          <t>M</t>
        </is>
      </c>
      <c r="J11" s="4" t="inlineStr">
        <is>
          <t>Done</t>
        </is>
      </c>
      <c r="K11" s="4" t="inlineStr"/>
      <c r="L11" s="4" t="inlineStr"/>
      <c r="M11" s="12" t="n"/>
      <c r="N11" s="12" t="n">
        <v>46294</v>
      </c>
      <c r="O11" s="4" t="inlineStr">
        <is>
          <t>README roadmap</t>
        </is>
      </c>
      <c r="P11" s="4" t="inlineStr"/>
    </row>
    <row r="12">
      <c r="A12" s="4" t="inlineStr">
        <is>
          <t>SL-011</t>
        </is>
      </c>
      <c r="B12" s="4" t="inlineStr">
        <is>
          <t>Learning path page at /app/paths/:id</t>
        </is>
      </c>
      <c r="C12" s="4" t="inlineStr">
        <is>
          <t>Progress at every level, item status, notes and exercises, log time</t>
        </is>
      </c>
      <c r="D12" s="4" t="inlineStr">
        <is>
          <t>Frontend</t>
        </is>
      </c>
      <c r="E12" s="4" t="inlineStr">
        <is>
          <t>M0</t>
        </is>
      </c>
      <c r="F12" s="4">
        <f>IFERROR(INDEX(Roadmap!$B$5:$B$16,MATCH(E12,Roadmap!$A$5:$A$16,0)),"")</f>
        <v/>
      </c>
      <c r="G12" s="4" t="inlineStr">
        <is>
          <t>Feature</t>
        </is>
      </c>
      <c r="H12" s="4" t="inlineStr">
        <is>
          <t>P1</t>
        </is>
      </c>
      <c r="I12" s="4" t="inlineStr">
        <is>
          <t>M</t>
        </is>
      </c>
      <c r="J12" s="4" t="inlineStr">
        <is>
          <t>Done</t>
        </is>
      </c>
      <c r="K12" s="4" t="inlineStr"/>
      <c r="L12" s="4" t="inlineStr"/>
      <c r="M12" s="12" t="n"/>
      <c r="N12" s="12" t="n">
        <v>46314</v>
      </c>
      <c r="O12" s="4" t="inlineStr">
        <is>
          <t>README roadmap</t>
        </is>
      </c>
      <c r="P12" s="4" t="inlineStr"/>
    </row>
    <row r="13">
      <c r="A13" s="4" t="inlineStr">
        <is>
          <t>SL-012</t>
        </is>
      </c>
      <c r="B13" s="4" t="inlineStr">
        <is>
          <t>Catalog page</t>
        </is>
      </c>
      <c r="C13" s="4" t="inlineStr">
        <is>
          <t>Browse paths you can see (GET /catalog/paths); filter by source (official, mine, organizations, community) and search</t>
        </is>
      </c>
      <c r="D13" s="4" t="inlineStr">
        <is>
          <t>Frontend</t>
        </is>
      </c>
      <c r="E13" s="4" t="inlineStr">
        <is>
          <t>M1</t>
        </is>
      </c>
      <c r="F13" s="4">
        <f>IFERROR(INDEX(Roadmap!$B$5:$B$16,MATCH(E13,Roadmap!$A$5:$A$16,0)),"")</f>
        <v/>
      </c>
      <c r="G13" s="4" t="inlineStr">
        <is>
          <t>Feature</t>
        </is>
      </c>
      <c r="H13" s="4" t="inlineStr">
        <is>
          <t>P1</t>
        </is>
      </c>
      <c r="I13" s="4" t="inlineStr">
        <is>
          <t>M</t>
        </is>
      </c>
      <c r="J13" s="4" t="inlineStr">
        <is>
          <t>Done</t>
        </is>
      </c>
      <c r="K13" s="4" t="inlineStr"/>
      <c r="L13" s="4" t="inlineStr"/>
      <c r="M13" s="12" t="n"/>
      <c r="N13" s="12" t="n">
        <v>46314</v>
      </c>
      <c r="O13" s="4" t="inlineStr">
        <is>
          <t>README roadmap</t>
        </is>
      </c>
      <c r="P13" s="4" t="inlineStr"/>
    </row>
    <row r="14">
      <c r="A14" s="4" t="inlineStr">
        <is>
          <t>SL-013</t>
        </is>
      </c>
      <c r="B14" s="4" t="inlineStr">
        <is>
          <t>Path preview before enrolling</t>
        </is>
      </c>
      <c r="C14" s="4" t="inlineStr">
        <is>
          <t>GET /catalog/paths/:pathId: modules, topics and items of a path, with an Enroll button</t>
        </is>
      </c>
      <c r="D14" s="4" t="inlineStr">
        <is>
          <t>Frontend</t>
        </is>
      </c>
      <c r="E14" s="4" t="inlineStr">
        <is>
          <t>M1</t>
        </is>
      </c>
      <c r="F14" s="4">
        <f>IFERROR(INDEX(Roadmap!$B$5:$B$16,MATCH(E14,Roadmap!$A$5:$A$16,0)),"")</f>
        <v/>
      </c>
      <c r="G14" s="4" t="inlineStr">
        <is>
          <t>Feature</t>
        </is>
      </c>
      <c r="H14" s="4" t="inlineStr">
        <is>
          <t>P1</t>
        </is>
      </c>
      <c r="I14" s="4" t="inlineStr">
        <is>
          <t>M</t>
        </is>
      </c>
      <c r="J14" s="4" t="inlineStr">
        <is>
          <t>Done</t>
        </is>
      </c>
      <c r="K14" s="4" t="inlineStr">
        <is>
          <t>SL-012</t>
        </is>
      </c>
      <c r="L14" s="4" t="inlineStr"/>
      <c r="M14" s="12" t="n"/>
      <c r="N14" s="12" t="n">
        <v>46318</v>
      </c>
      <c r="O14" s="4" t="inlineStr">
        <is>
          <t>README roadmap</t>
        </is>
      </c>
      <c r="P14" s="4" t="inlineStr"/>
    </row>
    <row r="15">
      <c r="A15" s="4" t="inlineStr">
        <is>
          <t>SL-014</t>
        </is>
      </c>
      <c r="B15" s="4" t="inlineStr">
        <is>
          <t>Enroll in a path, optionally choosing parts</t>
        </is>
      </c>
      <c r="C15" s="4" t="inlineStr">
        <is>
          <t>POST /me/enrollments with include/exclude rules (e.g. "Arrays, but not Hashing")</t>
        </is>
      </c>
      <c r="D15" s="4" t="inlineStr">
        <is>
          <t>Frontend</t>
        </is>
      </c>
      <c r="E15" s="4" t="inlineStr">
        <is>
          <t>M1</t>
        </is>
      </c>
      <c r="F15" s="4">
        <f>IFERROR(INDEX(Roadmap!$B$5:$B$16,MATCH(E15,Roadmap!$A$5:$A$16,0)),"")</f>
        <v/>
      </c>
      <c r="G15" s="4" t="inlineStr">
        <is>
          <t>Feature</t>
        </is>
      </c>
      <c r="H15" s="4" t="inlineStr">
        <is>
          <t>P1</t>
        </is>
      </c>
      <c r="I15" s="4" t="inlineStr">
        <is>
          <t>L</t>
        </is>
      </c>
      <c r="J15" s="4" t="inlineStr">
        <is>
          <t>Done</t>
        </is>
      </c>
      <c r="K15" s="4" t="inlineStr">
        <is>
          <t>SL-013</t>
        </is>
      </c>
      <c r="L15" s="4" t="inlineStr"/>
      <c r="M15" s="12" t="n"/>
      <c r="N15" s="12" t="n">
        <v>46318</v>
      </c>
      <c r="O15" s="4" t="inlineStr">
        <is>
          <t>README roadmap</t>
        </is>
      </c>
      <c r="P15" s="4" t="inlineStr"/>
    </row>
    <row r="16">
      <c r="A16" s="4" t="inlineStr">
        <is>
          <t>SL-015</t>
        </is>
      </c>
      <c r="B16" s="4" t="inlineStr">
        <is>
          <t>Manage an enrollment</t>
        </is>
      </c>
      <c r="C16" s="4" t="inlineStr">
        <is>
          <t>Pause, resume, drop (PATCH status), unenroll, edit rules (PUT .../rules) from the path page</t>
        </is>
      </c>
      <c r="D16" s="4" t="inlineStr">
        <is>
          <t>Frontend</t>
        </is>
      </c>
      <c r="E16" s="4" t="inlineStr">
        <is>
          <t>M1</t>
        </is>
      </c>
      <c r="F16" s="4">
        <f>IFERROR(INDEX(Roadmap!$B$5:$B$16,MATCH(E16,Roadmap!$A$5:$A$16,0)),"")</f>
        <v/>
      </c>
      <c r="G16" s="4" t="inlineStr">
        <is>
          <t>Feature</t>
        </is>
      </c>
      <c r="H16" s="4" t="inlineStr">
        <is>
          <t>P1</t>
        </is>
      </c>
      <c r="I16" s="4" t="inlineStr">
        <is>
          <t>M</t>
        </is>
      </c>
      <c r="J16" s="4" t="inlineStr">
        <is>
          <t>Done</t>
        </is>
      </c>
      <c r="K16" s="4" t="inlineStr">
        <is>
          <t>SL-014</t>
        </is>
      </c>
      <c r="L16" s="4" t="inlineStr"/>
      <c r="M16" s="12" t="n"/>
      <c r="N16" s="12" t="n">
        <v>46318</v>
      </c>
      <c r="O16" s="4" t="inlineStr">
        <is>
          <t>Proposed</t>
        </is>
      </c>
      <c r="P16" s="4" t="inlineStr"/>
    </row>
    <row r="17">
      <c r="A17" s="4" t="inlineStr">
        <is>
          <t>SL-016</t>
        </is>
      </c>
      <c r="B17" s="4" t="inlineStr">
        <is>
          <t>Custom order in a path</t>
        </is>
      </c>
      <c r="C17" s="4" t="inlineStr">
        <is>
          <t>Reorder modules, topics and items (PUT .../orders/...), and reset to the admin order</t>
        </is>
      </c>
      <c r="D17" s="4" t="inlineStr">
        <is>
          <t>Frontend</t>
        </is>
      </c>
      <c r="E17" s="4" t="inlineStr">
        <is>
          <t>M1</t>
        </is>
      </c>
      <c r="F17" s="4">
        <f>IFERROR(INDEX(Roadmap!$B$5:$B$16,MATCH(E17,Roadmap!$A$5:$A$16,0)),"")</f>
        <v/>
      </c>
      <c r="G17" s="4" t="inlineStr">
        <is>
          <t>Feature</t>
        </is>
      </c>
      <c r="H17" s="4" t="inlineStr">
        <is>
          <t>P2</t>
        </is>
      </c>
      <c r="I17" s="4" t="inlineStr">
        <is>
          <t>M</t>
        </is>
      </c>
      <c r="J17" s="4" t="inlineStr">
        <is>
          <t>Done</t>
        </is>
      </c>
      <c r="K17" s="4" t="inlineStr"/>
      <c r="L17" s="4" t="inlineStr"/>
      <c r="M17" s="12" t="n"/>
      <c r="N17" s="12" t="n">
        <v>46318</v>
      </c>
      <c r="O17" s="4" t="inlineStr">
        <is>
          <t>Proposed</t>
        </is>
      </c>
      <c r="P17" s="4" t="inlineStr"/>
    </row>
    <row r="18">
      <c r="A18" s="4" t="inlineStr">
        <is>
          <t>SL-017</t>
        </is>
      </c>
      <c r="B18" s="4" t="inlineStr">
        <is>
          <t>Reorder paths on the dashboard</t>
        </is>
      </c>
      <c r="C18" s="4" t="inlineStr">
        <is>
          <t>Drag or move paths; PUT /me/enrollments/order</t>
        </is>
      </c>
      <c r="D18" s="4" t="inlineStr">
        <is>
          <t>Frontend</t>
        </is>
      </c>
      <c r="E18" s="4" t="inlineStr">
        <is>
          <t>M1</t>
        </is>
      </c>
      <c r="F18" s="4">
        <f>IFERROR(INDEX(Roadmap!$B$5:$B$16,MATCH(E18,Roadmap!$A$5:$A$16,0)),"")</f>
        <v/>
      </c>
      <c r="G18" s="4" t="inlineStr">
        <is>
          <t>Feature</t>
        </is>
      </c>
      <c r="H18" s="4" t="inlineStr">
        <is>
          <t>P3</t>
        </is>
      </c>
      <c r="I18" s="4" t="inlineStr">
        <is>
          <t>S</t>
        </is>
      </c>
      <c r="J18" s="4" t="inlineStr">
        <is>
          <t>Done</t>
        </is>
      </c>
      <c r="K18" s="4" t="inlineStr"/>
      <c r="L18" s="4" t="inlineStr"/>
      <c r="M18" s="12" t="n"/>
      <c r="N18" s="12" t="n">
        <v>46318</v>
      </c>
      <c r="O18" s="4" t="inlineStr">
        <is>
          <t>Proposed</t>
        </is>
      </c>
      <c r="P18" s="4" t="inlineStr"/>
    </row>
    <row r="19">
      <c r="A19" s="4" t="inlineStr">
        <is>
          <t>SL-018</t>
        </is>
      </c>
      <c r="B19" s="4" t="inlineStr">
        <is>
          <t>Account settings page</t>
        </is>
      </c>
      <c r="C19" s="4" t="inlineStr">
        <is>
          <t>Edit name (PATCH /auth/me), change password, delete account</t>
        </is>
      </c>
      <c r="D19" s="4" t="inlineStr">
        <is>
          <t>Frontend</t>
        </is>
      </c>
      <c r="E19" s="4" t="inlineStr">
        <is>
          <t>M1</t>
        </is>
      </c>
      <c r="F19" s="4">
        <f>IFERROR(INDEX(Roadmap!$B$5:$B$16,MATCH(E19,Roadmap!$A$5:$A$16,0)),"")</f>
        <v/>
      </c>
      <c r="G19" s="4" t="inlineStr">
        <is>
          <t>Feature</t>
        </is>
      </c>
      <c r="H19" s="4" t="inlineStr">
        <is>
          <t>P2</t>
        </is>
      </c>
      <c r="I19" s="4" t="inlineStr">
        <is>
          <t>M</t>
        </is>
      </c>
      <c r="J19" s="4" t="inlineStr">
        <is>
          <t>Done</t>
        </is>
      </c>
      <c r="K19" s="4" t="inlineStr"/>
      <c r="L19" s="4" t="inlineStr"/>
      <c r="M19" s="12" t="n"/>
      <c r="N19" s="12" t="n">
        <v>46318</v>
      </c>
      <c r="O19" s="4" t="inlineStr">
        <is>
          <t>Proposed</t>
        </is>
      </c>
      <c r="P19" s="4" t="inlineStr"/>
    </row>
    <row r="20">
      <c r="A20" s="4" t="inlineStr">
        <is>
          <t>SL-019</t>
        </is>
      </c>
      <c r="B20" s="4" t="inlineStr">
        <is>
          <t>Update README intro</t>
        </is>
      </c>
      <c r="C20" s="4" t="inlineStr">
        <is>
          <t>Top of README still says apps/web is "empty for now"</t>
        </is>
      </c>
      <c r="D20" s="4" t="inlineStr">
        <is>
          <t>Docs</t>
        </is>
      </c>
      <c r="E20" s="4" t="inlineStr">
        <is>
          <t>M1</t>
        </is>
      </c>
      <c r="F20" s="4">
        <f>IFERROR(INDEX(Roadmap!$B$5:$B$16,MATCH(E20,Roadmap!$A$5:$A$16,0)),"")</f>
        <v/>
      </c>
      <c r="G20" s="4" t="inlineStr">
        <is>
          <t>Chore</t>
        </is>
      </c>
      <c r="H20" s="4" t="inlineStr">
        <is>
          <t>P3</t>
        </is>
      </c>
      <c r="I20" s="4" t="inlineStr">
        <is>
          <t>XS</t>
        </is>
      </c>
      <c r="J20" s="4" t="inlineStr">
        <is>
          <t>Done</t>
        </is>
      </c>
      <c r="K20" s="4" t="inlineStr"/>
      <c r="L20" s="4" t="inlineStr"/>
      <c r="M20" s="12" t="n"/>
      <c r="N20" s="12" t="n">
        <v>46318</v>
      </c>
      <c r="O20" s="4" t="inlineStr">
        <is>
          <t>Proposed</t>
        </is>
      </c>
      <c r="P20" s="4" t="inlineStr"/>
    </row>
    <row r="21">
      <c r="A21" s="4" t="inlineStr">
        <is>
          <t>SL-020</t>
        </is>
      </c>
      <c r="B21" s="4" t="inlineStr">
        <is>
          <t>CI with GitHub Actions</t>
        </is>
      </c>
      <c r="C21" s="4" t="inlineStr">
        <is>
          <t>On every push/PR: build, lint, yarn test:cov, migration:generate --check, incremental mutation testing</t>
        </is>
      </c>
      <c r="D21" s="4" t="inlineStr">
        <is>
          <t>DevOps</t>
        </is>
      </c>
      <c r="E21" s="4" t="inlineStr">
        <is>
          <t>M2</t>
        </is>
      </c>
      <c r="F21" s="4">
        <f>IFERROR(INDEX(Roadmap!$B$5:$B$16,MATCH(E21,Roadmap!$A$5:$A$16,0)),"")</f>
        <v/>
      </c>
      <c r="G21" s="4" t="inlineStr">
        <is>
          <t>Chore</t>
        </is>
      </c>
      <c r="H21" s="4" t="inlineStr">
        <is>
          <t>P1</t>
        </is>
      </c>
      <c r="I21" s="4" t="inlineStr">
        <is>
          <t>M</t>
        </is>
      </c>
      <c r="J21" s="4" t="inlineStr">
        <is>
          <t>Done</t>
        </is>
      </c>
      <c r="K21" s="4" t="inlineStr"/>
      <c r="L21" s="4" t="inlineStr"/>
      <c r="M21" s="12" t="n"/>
      <c r="N21" s="12" t="n">
        <v>46319</v>
      </c>
      <c r="O21" s="4" t="inlineStr">
        <is>
          <t>README roadmap</t>
        </is>
      </c>
      <c r="P21" s="4" t="inlineStr">
        <is>
          <t>PRs only: lint, build, unit tests with coverage (posted on the PR) and the Playwright UI tests; turbo and Playwright caching. migration:generate --check and mutation testing moved to SL-080.</t>
        </is>
      </c>
    </row>
    <row r="22">
      <c r="A22" s="4" t="inlineStr">
        <is>
          <t>SL-021</t>
        </is>
      </c>
      <c r="B22" s="4" t="inlineStr">
        <is>
          <t>Branch protection on master</t>
        </is>
      </c>
      <c r="C22" s="4" t="inlineStr">
        <is>
          <t>PRs only, CI must pass, no force pushes (needs GitHub Pro or a public repo)</t>
        </is>
      </c>
      <c r="D22" s="4" t="inlineStr">
        <is>
          <t>DevOps</t>
        </is>
      </c>
      <c r="E22" s="4" t="inlineStr">
        <is>
          <t>M2</t>
        </is>
      </c>
      <c r="F22" s="4">
        <f>IFERROR(INDEX(Roadmap!$B$5:$B$16,MATCH(E22,Roadmap!$A$5:$A$16,0)),"")</f>
        <v/>
      </c>
      <c r="G22" s="4" t="inlineStr">
        <is>
          <t>Chore</t>
        </is>
      </c>
      <c r="H22" s="4" t="inlineStr">
        <is>
          <t>P2</t>
        </is>
      </c>
      <c r="I22" s="4" t="inlineStr">
        <is>
          <t>XS</t>
        </is>
      </c>
      <c r="J22" s="4" t="inlineStr">
        <is>
          <t>Done</t>
        </is>
      </c>
      <c r="K22" s="4" t="inlineStr">
        <is>
          <t>SL-020</t>
        </is>
      </c>
      <c r="L22" s="4" t="inlineStr"/>
      <c r="M22" s="12" t="n"/>
      <c r="N22" s="12" t="n">
        <v>46321</v>
      </c>
      <c r="O22" s="4" t="inlineStr">
        <is>
          <t>README roadmap</t>
        </is>
      </c>
      <c r="P22" s="4" t="inlineStr">
        <is>
          <t>Ruleset (branchruleset.json) active on master, checked through the GitHub API on 2026-10-26: no deletion, no force pushes, PRs only, both CI checks required.</t>
        </is>
      </c>
    </row>
    <row r="23">
      <c r="A23" s="4" t="inlineStr">
        <is>
          <t>SL-022</t>
        </is>
      </c>
      <c r="B23" s="4" t="inlineStr">
        <is>
          <t>Pre-commit hooks</t>
        </is>
      </c>
      <c r="C23" s="4" t="inlineStr">
        <is>
          <t>husky + lint-staged: lint and related tests on committed files</t>
        </is>
      </c>
      <c r="D23" s="4" t="inlineStr">
        <is>
          <t>DevOps</t>
        </is>
      </c>
      <c r="E23" s="4" t="inlineStr">
        <is>
          <t>M2</t>
        </is>
      </c>
      <c r="F23" s="4">
        <f>IFERROR(INDEX(Roadmap!$B$5:$B$16,MATCH(E23,Roadmap!$A$5:$A$16,0)),"")</f>
        <v/>
      </c>
      <c r="G23" s="4" t="inlineStr">
        <is>
          <t>Chore</t>
        </is>
      </c>
      <c r="H23" s="4" t="inlineStr">
        <is>
          <t>P2</t>
        </is>
      </c>
      <c r="I23" s="4" t="inlineStr">
        <is>
          <t>S</t>
        </is>
      </c>
      <c r="J23" s="4" t="inlineStr">
        <is>
          <t>Not started</t>
        </is>
      </c>
      <c r="K23" s="4" t="inlineStr"/>
      <c r="L23" s="4" t="inlineStr"/>
      <c r="M23" s="12" t="n"/>
      <c r="N23" s="12" t="n"/>
      <c r="O23" s="4" t="inlineStr">
        <is>
          <t>README roadmap</t>
        </is>
      </c>
      <c r="P23" s="4" t="inlineStr"/>
    </row>
    <row r="24">
      <c r="A24" s="4" t="inlineStr">
        <is>
          <t>SL-023</t>
        </is>
      </c>
      <c r="B24" s="4" t="inlineStr">
        <is>
          <t>Dockerfile and deployment</t>
        </is>
      </c>
      <c r="C24" s="4" t="inlineStr">
        <is>
          <t>Container images, migration:run as a release step</t>
        </is>
      </c>
      <c r="D24" s="4" t="inlineStr">
        <is>
          <t>DevOps</t>
        </is>
      </c>
      <c r="E24" s="4" t="inlineStr">
        <is>
          <t>M2</t>
        </is>
      </c>
      <c r="F24" s="4">
        <f>IFERROR(INDEX(Roadmap!$B$5:$B$16,MATCH(E24,Roadmap!$A$5:$A$16,0)),"")</f>
        <v/>
      </c>
      <c r="G24" s="4" t="inlineStr">
        <is>
          <t>Feature</t>
        </is>
      </c>
      <c r="H24" s="4" t="inlineStr">
        <is>
          <t>P1</t>
        </is>
      </c>
      <c r="I24" s="4" t="inlineStr">
        <is>
          <t>L</t>
        </is>
      </c>
      <c r="J24" s="4" t="inlineStr">
        <is>
          <t>Done</t>
        </is>
      </c>
      <c r="K24" s="4" t="inlineStr"/>
      <c r="L24" s="4" t="inlineStr"/>
      <c r="M24" s="12" t="n"/>
      <c r="N24" s="12" t="n">
        <v>46319</v>
      </c>
      <c r="O24" s="4" t="inlineStr">
        <is>
          <t>README roadmap</t>
        </is>
      </c>
      <c r="P24" s="4" t="inlineStr">
        <is>
          <t>Images built by GitHub Actions to GHCR; deployed on Civo k3s (deploy/civo), live at https://gradiaqo.com. Migrations run in an init container before the API starts.</t>
        </is>
      </c>
    </row>
    <row r="25">
      <c r="A25" s="4" t="inlineStr">
        <is>
          <t>SL-024</t>
        </is>
      </c>
      <c r="B25" s="4" t="inlineStr">
        <is>
          <t>Check production settings</t>
        </is>
      </c>
      <c r="C25" s="4" t="inlineStr">
        <is>
          <t>NODE_ENV=production, COOKIE_SECURE=true, SWAGGER_ENABLED=false, LOG_PRETTY=false, TRUST_PROXY</t>
        </is>
      </c>
      <c r="D25" s="4" t="inlineStr">
        <is>
          <t>DevOps</t>
        </is>
      </c>
      <c r="E25" s="4" t="inlineStr">
        <is>
          <t>M2</t>
        </is>
      </c>
      <c r="F25" s="4">
        <f>IFERROR(INDEX(Roadmap!$B$5:$B$16,MATCH(E25,Roadmap!$A$5:$A$16,0)),"")</f>
        <v/>
      </c>
      <c r="G25" s="4" t="inlineStr">
        <is>
          <t>Chore</t>
        </is>
      </c>
      <c r="H25" s="4" t="inlineStr">
        <is>
          <t>P1</t>
        </is>
      </c>
      <c r="I25" s="4" t="inlineStr">
        <is>
          <t>S</t>
        </is>
      </c>
      <c r="J25" s="4" t="inlineStr">
        <is>
          <t>Done</t>
        </is>
      </c>
      <c r="K25" s="4" t="inlineStr">
        <is>
          <t>SL-023</t>
        </is>
      </c>
      <c r="L25" s="4" t="inlineStr"/>
      <c r="M25" s="12" t="n"/>
      <c r="N25" s="12" t="n">
        <v>46319</v>
      </c>
      <c r="O25" s="4" t="inlineStr">
        <is>
          <t>README roadmap</t>
        </is>
      </c>
      <c r="P25" s="4" t="inlineStr">
        <is>
          <t>deploy/k8s/config.env: production, secure cookies, Swagger off, TRUST_PROXY=2 (Traefik + Caddy). SMTP on port 2525: Civo blocks 25/465/587.</t>
        </is>
      </c>
    </row>
    <row r="26">
      <c r="A26" s="4" t="inlineStr">
        <is>
          <t>SL-025</t>
        </is>
      </c>
      <c r="B26" s="4" t="inlineStr">
        <is>
          <t>Dependency updates and audit</t>
        </is>
      </c>
      <c r="C26" s="4" t="inlineStr">
        <is>
          <t>Dependabot or Renovate; yarn npm audit in CI</t>
        </is>
      </c>
      <c r="D26" s="4" t="inlineStr">
        <is>
          <t>DevOps</t>
        </is>
      </c>
      <c r="E26" s="4" t="inlineStr">
        <is>
          <t>M2</t>
        </is>
      </c>
      <c r="F26" s="4">
        <f>IFERROR(INDEX(Roadmap!$B$5:$B$16,MATCH(E26,Roadmap!$A$5:$A$16,0)),"")</f>
        <v/>
      </c>
      <c r="G26" s="4" t="inlineStr">
        <is>
          <t>Chore</t>
        </is>
      </c>
      <c r="H26" s="4" t="inlineStr">
        <is>
          <t>P2</t>
        </is>
      </c>
      <c r="I26" s="4" t="inlineStr">
        <is>
          <t>S</t>
        </is>
      </c>
      <c r="J26" s="4" t="inlineStr">
        <is>
          <t>Not started</t>
        </is>
      </c>
      <c r="K26" s="4" t="inlineStr">
        <is>
          <t>SL-020</t>
        </is>
      </c>
      <c r="L26" s="4" t="inlineStr"/>
      <c r="M26" s="12" t="n"/>
      <c r="N26" s="12" t="n"/>
      <c r="O26" s="4" t="inlineStr">
        <is>
          <t>README roadmap</t>
        </is>
      </c>
      <c r="P26" s="4" t="inlineStr"/>
    </row>
    <row r="27">
      <c r="A27" s="4" t="inlineStr">
        <is>
          <t>SL-026</t>
        </is>
      </c>
      <c r="B27" s="4" t="inlineStr">
        <is>
          <t>Error tracking</t>
        </is>
      </c>
      <c r="C27" s="4" t="inlineStr">
        <is>
          <t>e.g. Sentry for API and web</t>
        </is>
      </c>
      <c r="D27" s="4" t="inlineStr">
        <is>
          <t>Operations</t>
        </is>
      </c>
      <c r="E27" s="4" t="inlineStr">
        <is>
          <t>M2</t>
        </is>
      </c>
      <c r="F27" s="4">
        <f>IFERROR(INDEX(Roadmap!$B$5:$B$16,MATCH(E27,Roadmap!$A$5:$A$16,0)),"")</f>
        <v/>
      </c>
      <c r="G27" s="4" t="inlineStr">
        <is>
          <t>Feature</t>
        </is>
      </c>
      <c r="H27" s="4" t="inlineStr">
        <is>
          <t>P1</t>
        </is>
      </c>
      <c r="I27" s="4" t="inlineStr">
        <is>
          <t>S</t>
        </is>
      </c>
      <c r="J27" s="4" t="inlineStr">
        <is>
          <t>Not started</t>
        </is>
      </c>
      <c r="K27" s="4" t="inlineStr">
        <is>
          <t>SL-023</t>
        </is>
      </c>
      <c r="L27" s="4" t="inlineStr"/>
      <c r="M27" s="12" t="n"/>
      <c r="N27" s="12" t="n"/>
      <c r="O27" s="4" t="inlineStr">
        <is>
          <t>README roadmap</t>
        </is>
      </c>
      <c r="P27" s="4" t="inlineStr"/>
    </row>
    <row r="28">
      <c r="A28" s="4" t="inlineStr">
        <is>
          <t>SL-027</t>
        </is>
      </c>
      <c r="B28" s="4" t="inlineStr">
        <is>
          <t>Graceful shutdown</t>
        </is>
      </c>
      <c r="C28" s="4" t="inlineStr">
        <is>
          <t>Close database connections cleanly on deploy</t>
        </is>
      </c>
      <c r="D28" s="4" t="inlineStr">
        <is>
          <t>Operations</t>
        </is>
      </c>
      <c r="E28" s="4" t="inlineStr">
        <is>
          <t>M2</t>
        </is>
      </c>
      <c r="F28" s="4">
        <f>IFERROR(INDEX(Roadmap!$B$5:$B$16,MATCH(E28,Roadmap!$A$5:$A$16,0)),"")</f>
        <v/>
      </c>
      <c r="G28" s="4" t="inlineStr">
        <is>
          <t>Chore</t>
        </is>
      </c>
      <c r="H28" s="4" t="inlineStr">
        <is>
          <t>P2</t>
        </is>
      </c>
      <c r="I28" s="4" t="inlineStr">
        <is>
          <t>S</t>
        </is>
      </c>
      <c r="J28" s="4" t="inlineStr">
        <is>
          <t>Not started</t>
        </is>
      </c>
      <c r="K28" s="4" t="inlineStr"/>
      <c r="L28" s="4" t="inlineStr"/>
      <c r="M28" s="12" t="n"/>
      <c r="N28" s="12" t="n"/>
      <c r="O28" s="4" t="inlineStr">
        <is>
          <t>README roadmap</t>
        </is>
      </c>
      <c r="P28" s="4" t="inlineStr"/>
    </row>
    <row r="29">
      <c r="A29" s="4" t="inlineStr">
        <is>
          <t>SL-028</t>
        </is>
      </c>
      <c r="B29" s="4" t="inlineStr">
        <is>
          <t>Metrics</t>
        </is>
      </c>
      <c r="C29" s="4" t="inlineStr">
        <is>
          <t>Request counts, latency, database timing</t>
        </is>
      </c>
      <c r="D29" s="4" t="inlineStr">
        <is>
          <t>Operations</t>
        </is>
      </c>
      <c r="E29" s="4" t="inlineStr">
        <is>
          <t>M2</t>
        </is>
      </c>
      <c r="F29" s="4">
        <f>IFERROR(INDEX(Roadmap!$B$5:$B$16,MATCH(E29,Roadmap!$A$5:$A$16,0)),"")</f>
        <v/>
      </c>
      <c r="G29" s="4" t="inlineStr">
        <is>
          <t>Feature</t>
        </is>
      </c>
      <c r="H29" s="4" t="inlineStr">
        <is>
          <t>P3</t>
        </is>
      </c>
      <c r="I29" s="4" t="inlineStr">
        <is>
          <t>M</t>
        </is>
      </c>
      <c r="J29" s="4" t="inlineStr">
        <is>
          <t>Not started</t>
        </is>
      </c>
      <c r="K29" s="4" t="inlineStr">
        <is>
          <t>SL-023</t>
        </is>
      </c>
      <c r="L29" s="4" t="inlineStr"/>
      <c r="M29" s="12" t="n"/>
      <c r="N29" s="12" t="n"/>
      <c r="O29" s="4" t="inlineStr">
        <is>
          <t>README roadmap</t>
        </is>
      </c>
      <c r="P29" s="4" t="inlineStr"/>
    </row>
    <row r="30">
      <c r="A30" s="4" t="inlineStr">
        <is>
          <t>SL-029</t>
        </is>
      </c>
      <c r="B30" s="4" t="inlineStr">
        <is>
          <t>Rate limits in a shared store</t>
        </is>
      </c>
      <c r="C30" s="4" t="inlineStr">
        <is>
          <t>Move counters from memory to e.g. Redis before running more than one API instance</t>
        </is>
      </c>
      <c r="D30" s="4" t="inlineStr">
        <is>
          <t>Backend</t>
        </is>
      </c>
      <c r="E30" s="4" t="inlineStr">
        <is>
          <t>M2</t>
        </is>
      </c>
      <c r="F30" s="4">
        <f>IFERROR(INDEX(Roadmap!$B$5:$B$16,MATCH(E30,Roadmap!$A$5:$A$16,0)),"")</f>
        <v/>
      </c>
      <c r="G30" s="4" t="inlineStr">
        <is>
          <t>Chore</t>
        </is>
      </c>
      <c r="H30" s="4" t="inlineStr">
        <is>
          <t>P2</t>
        </is>
      </c>
      <c r="I30" s="4" t="inlineStr">
        <is>
          <t>M</t>
        </is>
      </c>
      <c r="J30" s="4" t="inlineStr">
        <is>
          <t>Not started</t>
        </is>
      </c>
      <c r="K30" s="4" t="inlineStr"/>
      <c r="L30" s="4" t="inlineStr"/>
      <c r="M30" s="12" t="n"/>
      <c r="N30" s="12" t="n"/>
      <c r="O30" s="4" t="inlineStr">
        <is>
          <t>README roadmap</t>
        </is>
      </c>
      <c r="P30" s="4" t="inlineStr"/>
    </row>
    <row r="31">
      <c r="A31" s="4" t="inlineStr">
        <is>
          <t>SL-030</t>
        </is>
      </c>
      <c r="B31" s="4" t="inlineStr">
        <is>
          <t>Set up an email provider</t>
        </is>
      </c>
      <c r="C31" s="4" t="inlineStr">
        <is>
          <t>Resend, SendGrid or Amazon SES; SMTP for development</t>
        </is>
      </c>
      <c r="D31" s="4" t="inlineStr">
        <is>
          <t>Backend</t>
        </is>
      </c>
      <c r="E31" s="4" t="inlineStr">
        <is>
          <t>M3</t>
        </is>
      </c>
      <c r="F31" s="4">
        <f>IFERROR(INDEX(Roadmap!$B$5:$B$16,MATCH(E31,Roadmap!$A$5:$A$16,0)),"")</f>
        <v/>
      </c>
      <c r="G31" s="4" t="inlineStr">
        <is>
          <t>Feature</t>
        </is>
      </c>
      <c r="H31" s="4" t="inlineStr">
        <is>
          <t>P1</t>
        </is>
      </c>
      <c r="I31" s="4" t="inlineStr">
        <is>
          <t>M</t>
        </is>
      </c>
      <c r="J31" s="4" t="inlineStr">
        <is>
          <t>Done</t>
        </is>
      </c>
      <c r="K31" s="4" t="inlineStr"/>
      <c r="L31" s="4" t="inlineStr"/>
      <c r="M31" s="12" t="n"/>
      <c r="N31" s="12" t="n">
        <v>46318</v>
      </c>
      <c r="O31" s="4" t="inlineStr">
        <is>
          <t>README roadmap</t>
        </is>
      </c>
      <c r="P31" s="4" t="inlineStr"/>
    </row>
    <row r="32">
      <c r="A32" s="4" t="inlineStr">
        <is>
          <t>SL-031</t>
        </is>
      </c>
      <c r="B32" s="4" t="inlineStr">
        <is>
          <t>Email verification at signup</t>
        </is>
      </c>
      <c r="C32" s="4" t="inlineStr">
        <is>
          <t>OTP/code sent at signup; API + web screen</t>
        </is>
      </c>
      <c r="D32" s="4" t="inlineStr">
        <is>
          <t>Backend</t>
        </is>
      </c>
      <c r="E32" s="4" t="inlineStr">
        <is>
          <t>M3</t>
        </is>
      </c>
      <c r="F32" s="4">
        <f>IFERROR(INDEX(Roadmap!$B$5:$B$16,MATCH(E32,Roadmap!$A$5:$A$16,0)),"")</f>
        <v/>
      </c>
      <c r="G32" s="4" t="inlineStr">
        <is>
          <t>Feature</t>
        </is>
      </c>
      <c r="H32" s="4" t="inlineStr">
        <is>
          <t>P1</t>
        </is>
      </c>
      <c r="I32" s="4" t="inlineStr">
        <is>
          <t>M</t>
        </is>
      </c>
      <c r="J32" s="4" t="inlineStr">
        <is>
          <t>Done</t>
        </is>
      </c>
      <c r="K32" s="4" t="inlineStr">
        <is>
          <t>SL-030</t>
        </is>
      </c>
      <c r="L32" s="4" t="inlineStr"/>
      <c r="M32" s="12" t="n"/>
      <c r="N32" s="12" t="n">
        <v>46318</v>
      </c>
      <c r="O32" s="4" t="inlineStr">
        <is>
          <t>README roadmap</t>
        </is>
      </c>
      <c r="P32" s="4" t="inlineStr"/>
    </row>
    <row r="33">
      <c r="A33" s="4" t="inlineStr">
        <is>
          <t>SL-032</t>
        </is>
      </c>
      <c r="B33" s="4" t="inlineStr">
        <is>
          <t>Password reset</t>
        </is>
      </c>
      <c r="C33" s="4" t="inlineStr">
        <is>
          <t>Forgot-password flow; API + web pages</t>
        </is>
      </c>
      <c r="D33" s="4" t="inlineStr">
        <is>
          <t>Backend</t>
        </is>
      </c>
      <c r="E33" s="4" t="inlineStr">
        <is>
          <t>M3</t>
        </is>
      </c>
      <c r="F33" s="4">
        <f>IFERROR(INDEX(Roadmap!$B$5:$B$16,MATCH(E33,Roadmap!$A$5:$A$16,0)),"")</f>
        <v/>
      </c>
      <c r="G33" s="4" t="inlineStr">
        <is>
          <t>Feature</t>
        </is>
      </c>
      <c r="H33" s="4" t="inlineStr">
        <is>
          <t>P1</t>
        </is>
      </c>
      <c r="I33" s="4" t="inlineStr">
        <is>
          <t>M</t>
        </is>
      </c>
      <c r="J33" s="4" t="inlineStr">
        <is>
          <t>Done</t>
        </is>
      </c>
      <c r="K33" s="4" t="inlineStr">
        <is>
          <t>SL-030</t>
        </is>
      </c>
      <c r="L33" s="4" t="inlineStr"/>
      <c r="M33" s="12" t="n"/>
      <c r="N33" s="12" t="n">
        <v>46318</v>
      </c>
      <c r="O33" s="4" t="inlineStr">
        <is>
          <t>README roadmap</t>
        </is>
      </c>
      <c r="P33" s="4" t="inlineStr"/>
    </row>
    <row r="34">
      <c r="A34" s="4" t="inlineStr">
        <is>
          <t>SL-033</t>
        </is>
      </c>
      <c r="B34" s="4" t="inlineStr">
        <is>
          <t>Change your email</t>
        </is>
      </c>
      <c r="C34" s="4" t="inlineStr">
        <is>
          <t>Verify the new address before switching</t>
        </is>
      </c>
      <c r="D34" s="4" t="inlineStr">
        <is>
          <t>Backend</t>
        </is>
      </c>
      <c r="E34" s="4" t="inlineStr">
        <is>
          <t>M3</t>
        </is>
      </c>
      <c r="F34" s="4">
        <f>IFERROR(INDEX(Roadmap!$B$5:$B$16,MATCH(E34,Roadmap!$A$5:$A$16,0)),"")</f>
        <v/>
      </c>
      <c r="G34" s="4" t="inlineStr">
        <is>
          <t>Feature</t>
        </is>
      </c>
      <c r="H34" s="4" t="inlineStr">
        <is>
          <t>P2</t>
        </is>
      </c>
      <c r="I34" s="4" t="inlineStr">
        <is>
          <t>M</t>
        </is>
      </c>
      <c r="J34" s="4" t="inlineStr">
        <is>
          <t>Done</t>
        </is>
      </c>
      <c r="K34" s="4" t="inlineStr">
        <is>
          <t>SL-030</t>
        </is>
      </c>
      <c r="L34" s="4" t="inlineStr"/>
      <c r="M34" s="12" t="n"/>
      <c r="N34" s="12" t="n">
        <v>46318</v>
      </c>
      <c r="O34" s="4" t="inlineStr">
        <is>
          <t>README roadmap</t>
        </is>
      </c>
      <c r="P34" s="4" t="inlineStr"/>
    </row>
    <row r="35">
      <c r="A35" s="4" t="inlineStr">
        <is>
          <t>SL-034</t>
        </is>
      </c>
      <c r="B35" s="4" t="inlineStr">
        <is>
          <t>Send invitation emails</t>
        </is>
      </c>
      <c r="C35" s="4" t="inlineStr">
        <is>
          <t>Today invited people only see them in GET /me/invitations</t>
        </is>
      </c>
      <c r="D35" s="4" t="inlineStr">
        <is>
          <t>Backend</t>
        </is>
      </c>
      <c r="E35" s="4" t="inlineStr">
        <is>
          <t>M3</t>
        </is>
      </c>
      <c r="F35" s="4">
        <f>IFERROR(INDEX(Roadmap!$B$5:$B$16,MATCH(E35,Roadmap!$A$5:$A$16,0)),"")</f>
        <v/>
      </c>
      <c r="G35" s="4" t="inlineStr">
        <is>
          <t>Feature</t>
        </is>
      </c>
      <c r="H35" s="4" t="inlineStr">
        <is>
          <t>P2</t>
        </is>
      </c>
      <c r="I35" s="4" t="inlineStr">
        <is>
          <t>S</t>
        </is>
      </c>
      <c r="J35" s="4" t="inlineStr">
        <is>
          <t>Done</t>
        </is>
      </c>
      <c r="K35" s="4" t="inlineStr">
        <is>
          <t>SL-030</t>
        </is>
      </c>
      <c r="L35" s="4" t="inlineStr"/>
      <c r="M35" s="12" t="n"/>
      <c r="N35" s="12" t="n">
        <v>46318</v>
      </c>
      <c r="O35" s="4" t="inlineStr">
        <is>
          <t>README roadmap</t>
        </is>
      </c>
      <c r="P35" s="4" t="inlineStr">
        <is>
          <t>Accepting invitations in the web app comes with SL-036</t>
        </is>
      </c>
    </row>
    <row r="36">
      <c r="A36" s="4" t="inlineStr">
        <is>
          <t>SL-035</t>
        </is>
      </c>
      <c r="B36" s="4" t="inlineStr">
        <is>
          <t>Organizations page</t>
        </is>
      </c>
      <c r="C36" s="4" t="inlineStr">
        <is>
          <t>Create, rename and delete organizations; members and roles; leave</t>
        </is>
      </c>
      <c r="D36" s="4" t="inlineStr">
        <is>
          <t>Frontend</t>
        </is>
      </c>
      <c r="E36" s="4" t="inlineStr">
        <is>
          <t>M4</t>
        </is>
      </c>
      <c r="F36" s="4">
        <f>IFERROR(INDEX(Roadmap!$B$5:$B$16,MATCH(E36,Roadmap!$A$5:$A$16,0)),"")</f>
        <v/>
      </c>
      <c r="G36" s="4" t="inlineStr">
        <is>
          <t>Feature</t>
        </is>
      </c>
      <c r="H36" s="4" t="inlineStr">
        <is>
          <t>P2</t>
        </is>
      </c>
      <c r="I36" s="4" t="inlineStr">
        <is>
          <t>L</t>
        </is>
      </c>
      <c r="J36" s="4" t="inlineStr">
        <is>
          <t>Done</t>
        </is>
      </c>
      <c r="K36" s="4" t="inlineStr"/>
      <c r="L36" s="4" t="inlineStr"/>
      <c r="M36" s="12" t="n"/>
      <c r="N36" s="12" t="n">
        <v>46318</v>
      </c>
      <c r="O36" s="4" t="inlineStr">
        <is>
          <t>Proposed</t>
        </is>
      </c>
      <c r="P36" s="4" t="inlineStr"/>
    </row>
    <row r="37">
      <c r="A37" s="4" t="inlineStr">
        <is>
          <t>SL-036</t>
        </is>
      </c>
      <c r="B37" s="4" t="inlineStr">
        <is>
          <t>Invitations in the web app</t>
        </is>
      </c>
      <c r="C37" s="4" t="inlineStr">
        <is>
          <t>Owners/admins invite and revoke; users accept or decline (GET /me/invitations)</t>
        </is>
      </c>
      <c r="D37" s="4" t="inlineStr">
        <is>
          <t>Frontend</t>
        </is>
      </c>
      <c r="E37" s="4" t="inlineStr">
        <is>
          <t>M4</t>
        </is>
      </c>
      <c r="F37" s="4">
        <f>IFERROR(INDEX(Roadmap!$B$5:$B$16,MATCH(E37,Roadmap!$A$5:$A$16,0)),"")</f>
        <v/>
      </c>
      <c r="G37" s="4" t="inlineStr">
        <is>
          <t>Feature</t>
        </is>
      </c>
      <c r="H37" s="4" t="inlineStr">
        <is>
          <t>P2</t>
        </is>
      </c>
      <c r="I37" s="4" t="inlineStr">
        <is>
          <t>M</t>
        </is>
      </c>
      <c r="J37" s="4" t="inlineStr">
        <is>
          <t>Done</t>
        </is>
      </c>
      <c r="K37" s="4" t="inlineStr">
        <is>
          <t>SL-035</t>
        </is>
      </c>
      <c r="L37" s="4" t="inlineStr"/>
      <c r="M37" s="12" t="n"/>
      <c r="N37" s="12" t="n">
        <v>46318</v>
      </c>
      <c r="O37" s="4" t="inlineStr">
        <is>
          <t>Proposed</t>
        </is>
      </c>
      <c r="P37" s="4" t="inlineStr"/>
    </row>
    <row r="38">
      <c r="A38" s="4" t="inlineStr">
        <is>
          <t>SL-037</t>
        </is>
      </c>
      <c r="B38" s="4" t="inlineStr">
        <is>
          <t>Build your own learning paths</t>
        </is>
      </c>
      <c r="C38" s="4" t="inlineStr">
        <is>
          <t>Create paths, modules, topics and items in your workspace; reorder; private/public</t>
        </is>
      </c>
      <c r="D38" s="4" t="inlineStr">
        <is>
          <t>Frontend</t>
        </is>
      </c>
      <c r="E38" s="4" t="inlineStr">
        <is>
          <t>M4</t>
        </is>
      </c>
      <c r="F38" s="4">
        <f>IFERROR(INDEX(Roadmap!$B$5:$B$16,MATCH(E38,Roadmap!$A$5:$A$16,0)),"")</f>
        <v/>
      </c>
      <c r="G38" s="4" t="inlineStr">
        <is>
          <t>Feature</t>
        </is>
      </c>
      <c r="H38" s="4" t="inlineStr">
        <is>
          <t>P2</t>
        </is>
      </c>
      <c r="I38" s="4" t="inlineStr">
        <is>
          <t>XL</t>
        </is>
      </c>
      <c r="J38" s="4" t="inlineStr">
        <is>
          <t>Done</t>
        </is>
      </c>
      <c r="K38" s="4" t="inlineStr"/>
      <c r="L38" s="4" t="inlineStr"/>
      <c r="M38" s="12" t="n"/>
      <c r="N38" s="12" t="n">
        <v>46314</v>
      </c>
      <c r="O38" s="4" t="inlineStr">
        <is>
          <t>Proposed</t>
        </is>
      </c>
      <c r="P38" s="4" t="inlineStr"/>
    </row>
    <row r="39">
      <c r="A39" s="4" t="inlineStr">
        <is>
          <t>SL-038</t>
        </is>
      </c>
      <c r="B39" s="4" t="inlineStr">
        <is>
          <t>Link global items into your paths</t>
        </is>
      </c>
      <c r="C39" s="4" t="inlineStr">
        <is>
          <t>Search GET /catalog/items and link published items into your topics</t>
        </is>
      </c>
      <c r="D39" s="4" t="inlineStr">
        <is>
          <t>Frontend</t>
        </is>
      </c>
      <c r="E39" s="4" t="inlineStr">
        <is>
          <t>M4</t>
        </is>
      </c>
      <c r="F39" s="4">
        <f>IFERROR(INDEX(Roadmap!$B$5:$B$16,MATCH(E39,Roadmap!$A$5:$A$16,0)),"")</f>
        <v/>
      </c>
      <c r="G39" s="4" t="inlineStr">
        <is>
          <t>Feature</t>
        </is>
      </c>
      <c r="H39" s="4" t="inlineStr">
        <is>
          <t>P3</t>
        </is>
      </c>
      <c r="I39" s="4" t="inlineStr">
        <is>
          <t>M</t>
        </is>
      </c>
      <c r="J39" s="4" t="inlineStr">
        <is>
          <t>Done</t>
        </is>
      </c>
      <c r="K39" s="4" t="inlineStr">
        <is>
          <t>SL-037</t>
        </is>
      </c>
      <c r="L39" s="4" t="inlineStr"/>
      <c r="M39" s="12" t="n"/>
      <c r="N39" s="12" t="n">
        <v>46314</v>
      </c>
      <c r="O39" s="4" t="inlineStr">
        <is>
          <t>Proposed</t>
        </is>
      </c>
      <c r="P39" s="4" t="inlineStr"/>
    </row>
    <row r="40">
      <c r="A40" s="4" t="inlineStr">
        <is>
          <t>SL-039</t>
        </is>
      </c>
      <c r="B40" s="4" t="inlineStr">
        <is>
          <t>Report a public path</t>
        </is>
      </c>
      <c r="C40" s="4" t="inlineStr">
        <is>
          <t>POST /catalog/paths/:pathId/reports from the catalog</t>
        </is>
      </c>
      <c r="D40" s="4" t="inlineStr">
        <is>
          <t>Frontend</t>
        </is>
      </c>
      <c r="E40" s="4" t="inlineStr">
        <is>
          <t>M4</t>
        </is>
      </c>
      <c r="F40" s="4">
        <f>IFERROR(INDEX(Roadmap!$B$5:$B$16,MATCH(E40,Roadmap!$A$5:$A$16,0)),"")</f>
        <v/>
      </c>
      <c r="G40" s="4" t="inlineStr">
        <is>
          <t>Feature</t>
        </is>
      </c>
      <c r="H40" s="4" t="inlineStr">
        <is>
          <t>P3</t>
        </is>
      </c>
      <c r="I40" s="4" t="inlineStr">
        <is>
          <t>S</t>
        </is>
      </c>
      <c r="J40" s="4" t="inlineStr">
        <is>
          <t>Done</t>
        </is>
      </c>
      <c r="K40" s="4" t="inlineStr">
        <is>
          <t>SL-013</t>
        </is>
      </c>
      <c r="L40" s="4" t="inlineStr"/>
      <c r="M40" s="12" t="n"/>
      <c r="N40" s="12" t="n">
        <v>46318</v>
      </c>
      <c r="O40" s="4" t="inlineStr">
        <is>
          <t>Proposed</t>
        </is>
      </c>
      <c r="P40" s="4" t="inlineStr"/>
    </row>
    <row r="41">
      <c r="A41" s="4" t="inlineStr">
        <is>
          <t>SL-040</t>
        </is>
      </c>
      <c r="B41" s="4" t="inlineStr">
        <is>
          <t>Admin: global catalog editor</t>
        </is>
      </c>
      <c r="C41" s="4" t="inlineStr">
        <is>
          <t>Superadmin UI for /admin/catalog: drafts, publish, archive, order</t>
        </is>
      </c>
      <c r="D41" s="4" t="inlineStr">
        <is>
          <t>Frontend</t>
        </is>
      </c>
      <c r="E41" s="4" t="inlineStr">
        <is>
          <t>M4</t>
        </is>
      </c>
      <c r="F41" s="4">
        <f>IFERROR(INDEX(Roadmap!$B$5:$B$16,MATCH(E41,Roadmap!$A$5:$A$16,0)),"")</f>
        <v/>
      </c>
      <c r="G41" s="4" t="inlineStr">
        <is>
          <t>Feature</t>
        </is>
      </c>
      <c r="H41" s="4" t="inlineStr">
        <is>
          <t>P2</t>
        </is>
      </c>
      <c r="I41" s="4" t="inlineStr">
        <is>
          <t>XL</t>
        </is>
      </c>
      <c r="J41" s="4" t="inlineStr">
        <is>
          <t>Done</t>
        </is>
      </c>
      <c r="K41" s="4" t="inlineStr"/>
      <c r="L41" s="4" t="inlineStr"/>
      <c r="M41" s="12" t="n"/>
      <c r="N41" s="12" t="n">
        <v>46318</v>
      </c>
      <c r="O41" s="4" t="inlineStr">
        <is>
          <t>Proposed</t>
        </is>
      </c>
      <c r="P41" s="4" t="inlineStr"/>
    </row>
    <row r="42">
      <c r="A42" s="4" t="inlineStr">
        <is>
          <t>SL-041</t>
        </is>
      </c>
      <c r="B42" s="4" t="inlineStr">
        <is>
          <t>Admin: moderation queue</t>
        </is>
      </c>
      <c r="C42" s="4" t="inlineStr">
        <is>
          <t>Review reports (GET /admin/reports): dismiss or hide the path</t>
        </is>
      </c>
      <c r="D42" s="4" t="inlineStr">
        <is>
          <t>Frontend</t>
        </is>
      </c>
      <c r="E42" s="4" t="inlineStr">
        <is>
          <t>M4</t>
        </is>
      </c>
      <c r="F42" s="4">
        <f>IFERROR(INDEX(Roadmap!$B$5:$B$16,MATCH(E42,Roadmap!$A$5:$A$16,0)),"")</f>
        <v/>
      </c>
      <c r="G42" s="4" t="inlineStr">
        <is>
          <t>Feature</t>
        </is>
      </c>
      <c r="H42" s="4" t="inlineStr">
        <is>
          <t>P3</t>
        </is>
      </c>
      <c r="I42" s="4" t="inlineStr">
        <is>
          <t>M</t>
        </is>
      </c>
      <c r="J42" s="4" t="inlineStr">
        <is>
          <t>Done</t>
        </is>
      </c>
      <c r="K42" s="4" t="inlineStr"/>
      <c r="L42" s="4" t="inlineStr"/>
      <c r="M42" s="12" t="n"/>
      <c r="N42" s="12" t="n">
        <v>46318</v>
      </c>
      <c r="O42" s="4" t="inlineStr">
        <is>
          <t>Proposed</t>
        </is>
      </c>
      <c r="P42" s="4" t="inlineStr"/>
    </row>
    <row r="43">
      <c r="A43" s="4" t="inlineStr">
        <is>
          <t>SL-042</t>
        </is>
      </c>
      <c r="B43" s="4" t="inlineStr">
        <is>
          <t>Un-hide a path hidden by mistake</t>
        </is>
      </c>
      <c r="C43" s="4" t="inlineStr">
        <is>
          <t>Superadmin clears publicBlockedAt (API)</t>
        </is>
      </c>
      <c r="D43" s="4" t="inlineStr">
        <is>
          <t>Backend</t>
        </is>
      </c>
      <c r="E43" s="4" t="inlineStr">
        <is>
          <t>M4</t>
        </is>
      </c>
      <c r="F43" s="4">
        <f>IFERROR(INDEX(Roadmap!$B$5:$B$16,MATCH(E43,Roadmap!$A$5:$A$16,0)),"")</f>
        <v/>
      </c>
      <c r="G43" s="4" t="inlineStr">
        <is>
          <t>Feature</t>
        </is>
      </c>
      <c r="H43" s="4" t="inlineStr">
        <is>
          <t>P3</t>
        </is>
      </c>
      <c r="I43" s="4" t="inlineStr">
        <is>
          <t>S</t>
        </is>
      </c>
      <c r="J43" s="4" t="inlineStr">
        <is>
          <t>Done</t>
        </is>
      </c>
      <c r="K43" s="4" t="inlineStr"/>
      <c r="L43" s="4" t="inlineStr"/>
      <c r="M43" s="12" t="n"/>
      <c r="N43" s="12" t="n">
        <v>46318</v>
      </c>
      <c r="O43" s="4" t="inlineStr">
        <is>
          <t>README roadmap</t>
        </is>
      </c>
      <c r="P43" s="4" t="inlineStr"/>
    </row>
    <row r="44">
      <c r="A44" s="4" t="inlineStr">
        <is>
          <t>SL-043</t>
        </is>
      </c>
      <c r="B44" s="4" t="inlineStr">
        <is>
          <t>Study reminders / notifications</t>
        </is>
      </c>
      <c r="C44" s="4" t="inlineStr">
        <is>
          <t>e.g. "You haven't studied today, keep your streak"</t>
        </is>
      </c>
      <c r="D44" s="4" t="inlineStr">
        <is>
          <t>Backend</t>
        </is>
      </c>
      <c r="E44" s="4" t="inlineStr">
        <is>
          <t>M5</t>
        </is>
      </c>
      <c r="F44" s="4">
        <f>IFERROR(INDEX(Roadmap!$B$5:$B$16,MATCH(E44,Roadmap!$A$5:$A$16,0)),"")</f>
        <v/>
      </c>
      <c r="G44" s="4" t="inlineStr">
        <is>
          <t>Feature</t>
        </is>
      </c>
      <c r="H44" s="4" t="inlineStr">
        <is>
          <t>P2</t>
        </is>
      </c>
      <c r="I44" s="4" t="inlineStr">
        <is>
          <t>L</t>
        </is>
      </c>
      <c r="J44" s="4" t="inlineStr">
        <is>
          <t>Not started</t>
        </is>
      </c>
      <c r="K44" s="4" t="inlineStr">
        <is>
          <t>SL-030</t>
        </is>
      </c>
      <c r="L44" s="4" t="inlineStr"/>
      <c r="M44" s="12" t="n"/>
      <c r="N44" s="12" t="n"/>
      <c r="O44" s="4" t="inlineStr">
        <is>
          <t>README roadmap</t>
        </is>
      </c>
      <c r="P44" s="4" t="inlineStr"/>
    </row>
    <row r="45">
      <c r="A45" s="4" t="inlineStr">
        <is>
          <t>SL-044</t>
        </is>
      </c>
      <c r="B45" s="4" t="inlineStr">
        <is>
          <t>Data export</t>
        </is>
      </c>
      <c r="C45" s="4" t="inlineStr">
        <is>
          <t>Users download their progress and study sessions</t>
        </is>
      </c>
      <c r="D45" s="4" t="inlineStr">
        <is>
          <t>Backend</t>
        </is>
      </c>
      <c r="E45" s="4" t="inlineStr">
        <is>
          <t>M5</t>
        </is>
      </c>
      <c r="F45" s="4">
        <f>IFERROR(INDEX(Roadmap!$B$5:$B$16,MATCH(E45,Roadmap!$A$5:$A$16,0)),"")</f>
        <v/>
      </c>
      <c r="G45" s="4" t="inlineStr">
        <is>
          <t>Feature</t>
        </is>
      </c>
      <c r="H45" s="4" t="inlineStr">
        <is>
          <t>P3</t>
        </is>
      </c>
      <c r="I45" s="4" t="inlineStr">
        <is>
          <t>M</t>
        </is>
      </c>
      <c r="J45" s="4" t="inlineStr">
        <is>
          <t>Not started</t>
        </is>
      </c>
      <c r="K45" s="4" t="inlineStr"/>
      <c r="L45" s="4" t="inlineStr"/>
      <c r="M45" s="12" t="n"/>
      <c r="N45" s="12" t="n"/>
      <c r="O45" s="4" t="inlineStr">
        <is>
          <t>README roadmap</t>
        </is>
      </c>
      <c r="P45" s="4" t="inlineStr"/>
    </row>
    <row r="46">
      <c r="A46" s="4" t="inlineStr">
        <is>
          <t>SL-045</t>
        </is>
      </c>
      <c r="B46" s="4" t="inlineStr">
        <is>
          <t>Pagination for paths and enrollments</t>
        </is>
      </c>
      <c r="C46" s="4" t="inlineStr">
        <is>
          <t>GET /catalog/paths and GET /me/enrollments return everything today; API + web</t>
        </is>
      </c>
      <c r="D46" s="4" t="inlineStr">
        <is>
          <t>Backend</t>
        </is>
      </c>
      <c r="E46" s="4" t="inlineStr">
        <is>
          <t>M5</t>
        </is>
      </c>
      <c r="F46" s="4">
        <f>IFERROR(INDEX(Roadmap!$B$5:$B$16,MATCH(E46,Roadmap!$A$5:$A$16,0)),"")</f>
        <v/>
      </c>
      <c r="G46" s="4" t="inlineStr">
        <is>
          <t>Feature</t>
        </is>
      </c>
      <c r="H46" s="4" t="inlineStr">
        <is>
          <t>P2</t>
        </is>
      </c>
      <c r="I46" s="4" t="inlineStr">
        <is>
          <t>M</t>
        </is>
      </c>
      <c r="J46" s="4" t="inlineStr">
        <is>
          <t>Not started</t>
        </is>
      </c>
      <c r="K46" s="4" t="inlineStr"/>
      <c r="L46" s="4" t="inlineStr"/>
      <c r="M46" s="12" t="n"/>
      <c r="N46" s="12" t="n"/>
      <c r="O46" s="4" t="inlineStr">
        <is>
          <t>README roadmap</t>
        </is>
      </c>
      <c r="P46" s="4" t="inlineStr"/>
    </row>
    <row r="47">
      <c r="A47" s="4" t="inlineStr">
        <is>
          <t>SL-046</t>
        </is>
      </c>
      <c r="B47" s="4" t="inlineStr">
        <is>
          <t>Batch enrollment progress counting</t>
        </is>
      </c>
      <c r="C47" s="4" t="inlineStr">
        <is>
          <t>GET /me/enrollments builds each path tree one by one; batch it</t>
        </is>
      </c>
      <c r="D47" s="4" t="inlineStr">
        <is>
          <t>Backend</t>
        </is>
      </c>
      <c r="E47" s="4" t="inlineStr">
        <is>
          <t>M5</t>
        </is>
      </c>
      <c r="F47" s="4">
        <f>IFERROR(INDEX(Roadmap!$B$5:$B$16,MATCH(E47,Roadmap!$A$5:$A$16,0)),"")</f>
        <v/>
      </c>
      <c r="G47" s="4" t="inlineStr">
        <is>
          <t>Chore</t>
        </is>
      </c>
      <c r="H47" s="4" t="inlineStr">
        <is>
          <t>P3</t>
        </is>
      </c>
      <c r="I47" s="4" t="inlineStr">
        <is>
          <t>M</t>
        </is>
      </c>
      <c r="J47" s="4" t="inlineStr">
        <is>
          <t>Not started</t>
        </is>
      </c>
      <c r="K47" s="4" t="inlineStr"/>
      <c r="L47" s="4" t="inlineStr"/>
      <c r="M47" s="12" t="n"/>
      <c r="N47" s="12" t="n"/>
      <c r="O47" s="4" t="inlineStr">
        <is>
          <t>README roadmap</t>
        </is>
      </c>
      <c r="P47" s="4" t="inlineStr"/>
    </row>
    <row r="48">
      <c r="A48" s="4" t="inlineStr">
        <is>
          <t>SL-047</t>
        </is>
      </c>
      <c r="B48" s="4" t="inlineStr">
        <is>
          <t>Raise mutation scores and set a minimum</t>
        </is>
      </c>
      <c r="C48" s="4" t="inlineStr">
        <is>
          <t>Last run: total 71.6%; schemas 10.9%, nestjs 2.8%, database 58.3%. Set thresholds.break</t>
        </is>
      </c>
      <c r="D48" s="4" t="inlineStr">
        <is>
          <t>Testing</t>
        </is>
      </c>
      <c r="E48" s="4" t="inlineStr">
        <is>
          <t>M6</t>
        </is>
      </c>
      <c r="F48" s="4">
        <f>IFERROR(INDEX(Roadmap!$B$5:$B$16,MATCH(E48,Roadmap!$A$5:$A$16,0)),"")</f>
        <v/>
      </c>
      <c r="G48" s="4" t="inlineStr">
        <is>
          <t>Chore</t>
        </is>
      </c>
      <c r="H48" s="4" t="inlineStr">
        <is>
          <t>P2</t>
        </is>
      </c>
      <c r="I48" s="4" t="inlineStr">
        <is>
          <t>L</t>
        </is>
      </c>
      <c r="J48" s="4" t="inlineStr">
        <is>
          <t>Not started</t>
        </is>
      </c>
      <c r="K48" s="4" t="inlineStr"/>
      <c r="L48" s="4" t="inlineStr"/>
      <c r="M48" s="12" t="n"/>
      <c r="N48" s="12" t="n"/>
      <c r="O48" s="4" t="inlineStr">
        <is>
          <t>README roadmap</t>
        </is>
      </c>
      <c r="P48" s="4" t="inlineStr"/>
    </row>
    <row r="49">
      <c r="A49" s="4" t="inlineStr">
        <is>
          <t>SL-048</t>
        </is>
      </c>
      <c r="B49" s="4" t="inlineStr">
        <is>
          <t>Contract snapshot of every schema</t>
        </is>
      </c>
      <c r="C49" s="4" t="inlineStr">
        <is>
          <t>Most surviving mutants are in schemas and nestjs</t>
        </is>
      </c>
      <c r="D49" s="4" t="inlineStr">
        <is>
          <t>Testing</t>
        </is>
      </c>
      <c r="E49" s="4" t="inlineStr">
        <is>
          <t>M6</t>
        </is>
      </c>
      <c r="F49" s="4">
        <f>IFERROR(INDEX(Roadmap!$B$5:$B$16,MATCH(E49,Roadmap!$A$5:$A$16,0)),"")</f>
        <v/>
      </c>
      <c r="G49" s="4" t="inlineStr">
        <is>
          <t>Chore</t>
        </is>
      </c>
      <c r="H49" s="4" t="inlineStr">
        <is>
          <t>P2</t>
        </is>
      </c>
      <c r="I49" s="4" t="inlineStr">
        <is>
          <t>M</t>
        </is>
      </c>
      <c r="J49" s="4" t="inlineStr">
        <is>
          <t>Not started</t>
        </is>
      </c>
      <c r="K49" s="4" t="inlineStr"/>
      <c r="L49" s="4" t="inlineStr"/>
      <c r="M49" s="12" t="n"/>
      <c r="N49" s="12" t="n"/>
      <c r="O49" s="4" t="inlineStr">
        <is>
          <t>README roadmap</t>
        </is>
      </c>
      <c r="P49" s="4" t="inlineStr"/>
    </row>
    <row r="50">
      <c r="A50" s="4" t="inlineStr">
        <is>
          <t>SL-049</t>
        </is>
      </c>
      <c r="B50" s="4" t="inlineStr">
        <is>
          <t>Request schemas reject unknown fields</t>
        </is>
      </c>
      <c r="C50" s="4" t="inlineStr">
        <is>
          <t>Plus date formats and numeric limits</t>
        </is>
      </c>
      <c r="D50" s="4" t="inlineStr">
        <is>
          <t>Testing</t>
        </is>
      </c>
      <c r="E50" s="4" t="inlineStr">
        <is>
          <t>M6</t>
        </is>
      </c>
      <c r="F50" s="4">
        <f>IFERROR(INDEX(Roadmap!$B$5:$B$16,MATCH(E50,Roadmap!$A$5:$A$16,0)),"")</f>
        <v/>
      </c>
      <c r="G50" s="4" t="inlineStr">
        <is>
          <t>Chore</t>
        </is>
      </c>
      <c r="H50" s="4" t="inlineStr">
        <is>
          <t>P2</t>
        </is>
      </c>
      <c r="I50" s="4" t="inlineStr">
        <is>
          <t>S</t>
        </is>
      </c>
      <c r="J50" s="4" t="inlineStr">
        <is>
          <t>Not started</t>
        </is>
      </c>
      <c r="K50" s="4" t="inlineStr"/>
      <c r="L50" s="4" t="inlineStr"/>
      <c r="M50" s="12" t="n"/>
      <c r="N50" s="12" t="n"/>
      <c r="O50" s="4" t="inlineStr">
        <is>
          <t>README roadmap</t>
        </is>
      </c>
      <c r="P50" s="4" t="inlineStr"/>
    </row>
    <row r="51">
      <c r="A51" s="4" t="inlineStr">
        <is>
          <t>SL-050</t>
        </is>
      </c>
      <c r="B51" s="4" t="inlineStr">
        <is>
          <t>End-to-end tests against a real database</t>
        </is>
      </c>
      <c r="C51" s="4" t="inlineStr">
        <is>
          <t>Permissions, visibility, the SQL the unit tests fake</t>
        </is>
      </c>
      <c r="D51" s="4" t="inlineStr">
        <is>
          <t>Testing</t>
        </is>
      </c>
      <c r="E51" s="4" t="inlineStr">
        <is>
          <t>M6</t>
        </is>
      </c>
      <c r="F51" s="4">
        <f>IFERROR(INDEX(Roadmap!$B$5:$B$16,MATCH(E51,Roadmap!$A$5:$A$16,0)),"")</f>
        <v/>
      </c>
      <c r="G51" s="4" t="inlineStr">
        <is>
          <t>Chore</t>
        </is>
      </c>
      <c r="H51" s="4" t="inlineStr">
        <is>
          <t>P2</t>
        </is>
      </c>
      <c r="I51" s="4" t="inlineStr">
        <is>
          <t>L</t>
        </is>
      </c>
      <c r="J51" s="4" t="inlineStr">
        <is>
          <t>Not started</t>
        </is>
      </c>
      <c r="K51" s="4" t="inlineStr"/>
      <c r="L51" s="4" t="inlineStr"/>
      <c r="M51" s="12" t="n"/>
      <c r="N51" s="12" t="n"/>
      <c r="O51" s="4" t="inlineStr">
        <is>
          <t>README roadmap</t>
        </is>
      </c>
      <c r="P51" s="4" t="inlineStr"/>
    </row>
    <row r="52">
      <c r="A52" s="4" t="inlineStr">
        <is>
          <t>SL-051</t>
        </is>
      </c>
      <c r="B52" s="4" t="inlineStr">
        <is>
          <t>Property-based tests</t>
        </is>
      </c>
      <c r="C52" s="4" t="inlineStr">
        <is>
          <t>fast-check for enrollment rules and ordering, streaks and dates, slugs</t>
        </is>
      </c>
      <c r="D52" s="4" t="inlineStr">
        <is>
          <t>Testing</t>
        </is>
      </c>
      <c r="E52" s="4" t="inlineStr">
        <is>
          <t>M6</t>
        </is>
      </c>
      <c r="F52" s="4">
        <f>IFERROR(INDEX(Roadmap!$B$5:$B$16,MATCH(E52,Roadmap!$A$5:$A$16,0)),"")</f>
        <v/>
      </c>
      <c r="G52" s="4" t="inlineStr">
        <is>
          <t>Chore</t>
        </is>
      </c>
      <c r="H52" s="4" t="inlineStr">
        <is>
          <t>P3</t>
        </is>
      </c>
      <c r="I52" s="4" t="inlineStr">
        <is>
          <t>M</t>
        </is>
      </c>
      <c r="J52" s="4" t="inlineStr">
        <is>
          <t>Not started</t>
        </is>
      </c>
      <c r="K52" s="4" t="inlineStr"/>
      <c r="L52" s="4" t="inlineStr"/>
      <c r="M52" s="12" t="n"/>
      <c r="N52" s="12" t="n"/>
      <c r="O52" s="4" t="inlineStr">
        <is>
          <t>README roadmap</t>
        </is>
      </c>
      <c r="P52" s="4" t="inlineStr"/>
    </row>
    <row r="53">
      <c r="A53" s="4" t="inlineStr">
        <is>
          <t>SL-052</t>
        </is>
      </c>
      <c r="B53" s="4" t="inlineStr">
        <is>
          <t>Type-check mutants</t>
        </is>
      </c>
      <c r="C53" s="4" t="inlineStr">
        <is>
          <t>@stryker-mutator/typescript-checker for more accurate scores</t>
        </is>
      </c>
      <c r="D53" s="4" t="inlineStr">
        <is>
          <t>Testing</t>
        </is>
      </c>
      <c r="E53" s="4" t="inlineStr">
        <is>
          <t>M6</t>
        </is>
      </c>
      <c r="F53" s="4">
        <f>IFERROR(INDEX(Roadmap!$B$5:$B$16,MATCH(E53,Roadmap!$A$5:$A$16,0)),"")</f>
        <v/>
      </c>
      <c r="G53" s="4" t="inlineStr">
        <is>
          <t>Chore</t>
        </is>
      </c>
      <c r="H53" s="4" t="inlineStr">
        <is>
          <t>P3</t>
        </is>
      </c>
      <c r="I53" s="4" t="inlineStr">
        <is>
          <t>S</t>
        </is>
      </c>
      <c r="J53" s="4" t="inlineStr">
        <is>
          <t>Not started</t>
        </is>
      </c>
      <c r="K53" s="4" t="inlineStr"/>
      <c r="L53" s="4" t="inlineStr"/>
      <c r="M53" s="12" t="n"/>
      <c r="N53" s="12" t="n"/>
      <c r="O53" s="4" t="inlineStr">
        <is>
          <t>README roadmap</t>
        </is>
      </c>
      <c r="P53" s="4" t="inlineStr"/>
    </row>
    <row r="54">
      <c r="A54" s="4" t="inlineStr">
        <is>
          <t>SL-053</t>
        </is>
      </c>
      <c r="B54" s="4" t="inlineStr">
        <is>
          <t>Replace starter READMEs</t>
        </is>
      </c>
      <c r="C54" s="4" t="inlineStr">
        <is>
          <t>apps/api and apps/cli still have the NestJS starter READMEs</t>
        </is>
      </c>
      <c r="D54" s="4" t="inlineStr">
        <is>
          <t>Docs</t>
        </is>
      </c>
      <c r="E54" s="4" t="inlineStr">
        <is>
          <t>M6</t>
        </is>
      </c>
      <c r="F54" s="4">
        <f>IFERROR(INDEX(Roadmap!$B$5:$B$16,MATCH(E54,Roadmap!$A$5:$A$16,0)),"")</f>
        <v/>
      </c>
      <c r="G54" s="4" t="inlineStr">
        <is>
          <t>Chore</t>
        </is>
      </c>
      <c r="H54" s="4" t="inlineStr">
        <is>
          <t>P3</t>
        </is>
      </c>
      <c r="I54" s="4" t="inlineStr">
        <is>
          <t>S</t>
        </is>
      </c>
      <c r="J54" s="4" t="inlineStr">
        <is>
          <t>Not started</t>
        </is>
      </c>
      <c r="K54" s="4" t="inlineStr"/>
      <c r="L54" s="4" t="inlineStr"/>
      <c r="M54" s="12" t="n"/>
      <c r="N54" s="12" t="n"/>
      <c r="O54" s="4" t="inlineStr">
        <is>
          <t>README roadmap</t>
        </is>
      </c>
      <c r="P54" s="4" t="inlineStr"/>
    </row>
    <row r="55">
      <c r="A55" s="4" t="inlineStr">
        <is>
          <t>SL-054</t>
        </is>
      </c>
      <c r="B55" s="4" t="inlineStr">
        <is>
          <t>Architecture overview</t>
        </is>
      </c>
      <c r="C55" s="4" t="inlineStr">
        <is>
          <t>Catalog, enrollments, permissions</t>
        </is>
      </c>
      <c r="D55" s="4" t="inlineStr">
        <is>
          <t>Docs</t>
        </is>
      </c>
      <c r="E55" s="4" t="inlineStr">
        <is>
          <t>M6</t>
        </is>
      </c>
      <c r="F55" s="4">
        <f>IFERROR(INDEX(Roadmap!$B$5:$B$16,MATCH(E55,Roadmap!$A$5:$A$16,0)),"")</f>
        <v/>
      </c>
      <c r="G55" s="4" t="inlineStr">
        <is>
          <t>Chore</t>
        </is>
      </c>
      <c r="H55" s="4" t="inlineStr">
        <is>
          <t>P3</t>
        </is>
      </c>
      <c r="I55" s="4" t="inlineStr">
        <is>
          <t>M</t>
        </is>
      </c>
      <c r="J55" s="4" t="inlineStr">
        <is>
          <t>Not started</t>
        </is>
      </c>
      <c r="K55" s="4" t="inlineStr"/>
      <c r="L55" s="4" t="inlineStr"/>
      <c r="M55" s="12" t="n"/>
      <c r="N55" s="12" t="n"/>
      <c r="O55" s="4" t="inlineStr">
        <is>
          <t>README roadmap</t>
        </is>
      </c>
      <c r="P55" s="4" t="inlineStr"/>
    </row>
    <row r="56">
      <c r="A56" s="4" t="inlineStr">
        <is>
          <t>SL-055</t>
        </is>
      </c>
      <c r="B56" s="4" t="inlineStr">
        <is>
          <t>Mobile app</t>
        </is>
      </c>
      <c r="C56" s="4" t="inlineStr">
        <is>
          <t>Choose the stack (e.g. React Native/Expo reusing @studylog/schemas); login, dashboard, log a session, path page</t>
        </is>
      </c>
      <c r="D56" s="4" t="inlineStr">
        <is>
          <t>Mobile</t>
        </is>
      </c>
      <c r="E56" s="4" t="inlineStr">
        <is>
          <t>M7</t>
        </is>
      </c>
      <c r="F56" s="4">
        <f>IFERROR(INDEX(Roadmap!$B$5:$B$16,MATCH(E56,Roadmap!$A$5:$A$16,0)),"")</f>
        <v/>
      </c>
      <c r="G56" s="4" t="inlineStr">
        <is>
          <t>Feature</t>
        </is>
      </c>
      <c r="H56" s="4" t="inlineStr">
        <is>
          <t>P3</t>
        </is>
      </c>
      <c r="I56" s="4" t="inlineStr">
        <is>
          <t>XL</t>
        </is>
      </c>
      <c r="J56" s="4" t="inlineStr">
        <is>
          <t>Not started</t>
        </is>
      </c>
      <c r="K56" s="4" t="inlineStr"/>
      <c r="L56" s="4" t="inlineStr"/>
      <c r="M56" s="12" t="n"/>
      <c r="N56" s="12" t="n"/>
      <c r="O56" s="4" t="inlineStr">
        <is>
          <t>README roadmap</t>
        </is>
      </c>
      <c r="P56" s="4" t="inlineStr"/>
    </row>
    <row r="57">
      <c r="A57" s="4" t="inlineStr">
        <is>
          <t>SL-056</t>
        </is>
      </c>
      <c r="B57" s="4" t="inlineStr">
        <is>
          <t>Design system in Figma</t>
        </is>
      </c>
      <c r="C57" s="4" t="inlineStr">
        <is>
          <t>Variables (colors, spacing, radius) with CSS names, text and shadow styles, 21 components and 46 icons in "StudyLog – App Design"</t>
        </is>
      </c>
      <c r="D57" s="4" t="inlineStr">
        <is>
          <t>Design</t>
        </is>
      </c>
      <c r="E57" s="4" t="inlineStr">
        <is>
          <t>M8</t>
        </is>
      </c>
      <c r="F57" s="4">
        <f>IFERROR(INDEX(Roadmap!$B$5:$B$16,MATCH(E57,Roadmap!$A$5:$A$16,0)),"")</f>
        <v/>
      </c>
      <c r="G57" s="4" t="inlineStr">
        <is>
          <t>Chore</t>
        </is>
      </c>
      <c r="H57" s="4" t="inlineStr">
        <is>
          <t>P1</t>
        </is>
      </c>
      <c r="I57" s="4" t="inlineStr">
        <is>
          <t>L</t>
        </is>
      </c>
      <c r="J57" s="4" t="inlineStr">
        <is>
          <t>Done</t>
        </is>
      </c>
      <c r="K57" s="4" t="inlineStr"/>
      <c r="L57" s="4" t="inlineStr"/>
      <c r="M57" s="12" t="n"/>
      <c r="N57" s="12" t="n">
        <v>46314</v>
      </c>
      <c r="O57" s="4" t="inlineStr">
        <is>
          <t>Figma design</t>
        </is>
      </c>
      <c r="P57" s="4" t="inlineStr"/>
    </row>
    <row r="58">
      <c r="A58" s="4" t="inlineStr">
        <is>
          <t>SL-057</t>
        </is>
      </c>
      <c r="B58" s="4" t="inlineStr">
        <is>
          <t>Figma: all web screens</t>
        </is>
      </c>
      <c r="C58" s="4" t="inlineStr">
        <is>
          <t>46 screens: current pages, M1, M3 and M4 screens, loading and error states, dialogs, 390px phone layouts</t>
        </is>
      </c>
      <c r="D58" s="4" t="inlineStr">
        <is>
          <t>Design</t>
        </is>
      </c>
      <c r="E58" s="4" t="inlineStr">
        <is>
          <t>M8</t>
        </is>
      </c>
      <c r="F58" s="4">
        <f>IFERROR(INDEX(Roadmap!$B$5:$B$16,MATCH(E58,Roadmap!$A$5:$A$16,0)),"")</f>
        <v/>
      </c>
      <c r="G58" s="4" t="inlineStr">
        <is>
          <t>Chore</t>
        </is>
      </c>
      <c r="H58" s="4" t="inlineStr">
        <is>
          <t>P1</t>
        </is>
      </c>
      <c r="I58" s="4" t="inlineStr">
        <is>
          <t>XL</t>
        </is>
      </c>
      <c r="J58" s="4" t="inlineStr">
        <is>
          <t>Done</t>
        </is>
      </c>
      <c r="K58" s="4" t="inlineStr">
        <is>
          <t>SL-056</t>
        </is>
      </c>
      <c r="L58" s="4" t="inlineStr"/>
      <c r="M58" s="12" t="n"/>
      <c r="N58" s="12" t="n">
        <v>46314</v>
      </c>
      <c r="O58" s="4" t="inlineStr">
        <is>
          <t>Figma design</t>
        </is>
      </c>
      <c r="P58" s="4" t="inlineStr"/>
    </row>
    <row r="59">
      <c r="A59" s="4" t="inlineStr">
        <is>
          <t>SL-058</t>
        </is>
      </c>
      <c r="B59" s="4" t="inlineStr">
        <is>
          <t>Figma: Analytics and Interview ready</t>
        </is>
      </c>
      <c r="C59" s="4" t="inlineStr">
        <is>
          <t>Analytics, Interview ready and the set-a-goal dialog; sidebar gains both links</t>
        </is>
      </c>
      <c r="D59" s="4" t="inlineStr">
        <is>
          <t>Design</t>
        </is>
      </c>
      <c r="E59" s="4" t="inlineStr">
        <is>
          <t>M8</t>
        </is>
      </c>
      <c r="F59" s="4">
        <f>IFERROR(INDEX(Roadmap!$B$5:$B$16,MATCH(E59,Roadmap!$A$5:$A$16,0)),"")</f>
        <v/>
      </c>
      <c r="G59" s="4" t="inlineStr">
        <is>
          <t>Chore</t>
        </is>
      </c>
      <c r="H59" s="4" t="inlineStr">
        <is>
          <t>P1</t>
        </is>
      </c>
      <c r="I59" s="4" t="inlineStr">
        <is>
          <t>M</t>
        </is>
      </c>
      <c r="J59" s="4" t="inlineStr">
        <is>
          <t>Done</t>
        </is>
      </c>
      <c r="K59" s="4" t="inlineStr">
        <is>
          <t>SL-056</t>
        </is>
      </c>
      <c r="L59" s="4" t="inlineStr"/>
      <c r="M59" s="12" t="n"/>
      <c r="N59" s="12" t="n">
        <v>46314</v>
      </c>
      <c r="O59" s="4" t="inlineStr">
        <is>
          <t>Figma design</t>
        </is>
      </c>
      <c r="P59" s="4" t="inlineStr"/>
    </row>
    <row r="60">
      <c r="A60" s="4" t="inlineStr">
        <is>
          <t>SL-059</t>
        </is>
      </c>
      <c r="B60" s="4" t="inlineStr">
        <is>
          <t>Design tokens in code</t>
        </is>
      </c>
      <c r="C60" s="4" t="inlineStr">
        <is>
          <t>Replace index.css tokens with the Figma variables (same CSS names), light and dark values, spacing and radius scales</t>
        </is>
      </c>
      <c r="D60" s="4" t="inlineStr">
        <is>
          <t>Frontend</t>
        </is>
      </c>
      <c r="E60" s="4" t="inlineStr">
        <is>
          <t>M8</t>
        </is>
      </c>
      <c r="F60" s="4">
        <f>IFERROR(INDEX(Roadmap!$B$5:$B$16,MATCH(E60,Roadmap!$A$5:$A$16,0)),"")</f>
        <v/>
      </c>
      <c r="G60" s="4" t="inlineStr">
        <is>
          <t>Chore</t>
        </is>
      </c>
      <c r="H60" s="4" t="inlineStr">
        <is>
          <t>P1</t>
        </is>
      </c>
      <c r="I60" s="4" t="inlineStr">
        <is>
          <t>M</t>
        </is>
      </c>
      <c r="J60" s="4" t="inlineStr">
        <is>
          <t>Done</t>
        </is>
      </c>
      <c r="K60" s="4" t="inlineStr">
        <is>
          <t>SL-056</t>
        </is>
      </c>
      <c r="L60" s="4" t="inlineStr"/>
      <c r="M60" s="12" t="n"/>
      <c r="N60" s="12" t="n">
        <v>46314</v>
      </c>
      <c r="O60" s="4" t="inlineStr">
        <is>
          <t>Figma design</t>
        </is>
      </c>
      <c r="P60" s="4" t="inlineStr"/>
    </row>
    <row r="61">
      <c r="A61" s="4" t="inlineStr">
        <is>
          <t>SL-060</t>
        </is>
      </c>
      <c r="B61" s="4" t="inlineStr">
        <is>
          <t>Load Inter and JetBrains Mono</t>
        </is>
      </c>
      <c r="C61" s="4" t="inlineStr">
        <is>
          <t>Fonts are not loaded today, so pages use the system font</t>
        </is>
      </c>
      <c r="D61" s="4" t="inlineStr">
        <is>
          <t>Frontend</t>
        </is>
      </c>
      <c r="E61" s="4" t="inlineStr">
        <is>
          <t>M8</t>
        </is>
      </c>
      <c r="F61" s="4">
        <f>IFERROR(INDEX(Roadmap!$B$5:$B$16,MATCH(E61,Roadmap!$A$5:$A$16,0)),"")</f>
        <v/>
      </c>
      <c r="G61" s="4" t="inlineStr">
        <is>
          <t>Bug</t>
        </is>
      </c>
      <c r="H61" s="4" t="inlineStr">
        <is>
          <t>P1</t>
        </is>
      </c>
      <c r="I61" s="4" t="inlineStr">
        <is>
          <t>XS</t>
        </is>
      </c>
      <c r="J61" s="4" t="inlineStr">
        <is>
          <t>Done</t>
        </is>
      </c>
      <c r="K61" s="4" t="inlineStr"/>
      <c r="L61" s="4" t="inlineStr"/>
      <c r="M61" s="12" t="n"/>
      <c r="N61" s="12" t="n">
        <v>46314</v>
      </c>
      <c r="O61" s="4" t="inlineStr">
        <is>
          <t>Figma design</t>
        </is>
      </c>
      <c r="P61" s="4" t="inlineStr"/>
    </row>
    <row r="62">
      <c r="A62" s="4" t="inlineStr">
        <is>
          <t>SL-061</t>
        </is>
      </c>
      <c r="B62" s="4" t="inlineStr">
        <is>
          <t>App shell: sidebar navigation</t>
        </is>
      </c>
      <c r="C62" s="4" t="inlineStr">
        <is>
          <t>Dark sidebar: Dashboard, Browse paths, Sessions, Analytics, Interview ready, My paths, Organizations, Admin (superadmins), Settings; account and log out</t>
        </is>
      </c>
      <c r="D62" s="4" t="inlineStr">
        <is>
          <t>Frontend</t>
        </is>
      </c>
      <c r="E62" s="4" t="inlineStr">
        <is>
          <t>M8</t>
        </is>
      </c>
      <c r="F62" s="4">
        <f>IFERROR(INDEX(Roadmap!$B$5:$B$16,MATCH(E62,Roadmap!$A$5:$A$16,0)),"")</f>
        <v/>
      </c>
      <c r="G62" s="4" t="inlineStr">
        <is>
          <t>Feature</t>
        </is>
      </c>
      <c r="H62" s="4" t="inlineStr">
        <is>
          <t>P1</t>
        </is>
      </c>
      <c r="I62" s="4" t="inlineStr">
        <is>
          <t>M</t>
        </is>
      </c>
      <c r="J62" s="4" t="inlineStr">
        <is>
          <t>Done</t>
        </is>
      </c>
      <c r="K62" s="4" t="inlineStr">
        <is>
          <t>SL-059</t>
        </is>
      </c>
      <c r="L62" s="4" t="inlineStr"/>
      <c r="M62" s="12" t="n"/>
      <c r="N62" s="12" t="n">
        <v>46314</v>
      </c>
      <c r="O62" s="4" t="inlineStr">
        <is>
          <t>Figma design</t>
        </is>
      </c>
      <c r="P62" s="4" t="inlineStr"/>
    </row>
    <row r="63">
      <c r="A63" s="4" t="inlineStr">
        <is>
          <t>SL-062</t>
        </is>
      </c>
      <c r="B63" s="4" t="inlineStr">
        <is>
          <t>Phone layout: top bar and menu</t>
        </is>
      </c>
      <c r="C63" s="4" t="inlineStr">
        <is>
          <t>390px: top bar with menu, slide-in navigation, stacked page layouts</t>
        </is>
      </c>
      <c r="D63" s="4" t="inlineStr">
        <is>
          <t>Frontend</t>
        </is>
      </c>
      <c r="E63" s="4" t="inlineStr">
        <is>
          <t>M8</t>
        </is>
      </c>
      <c r="F63" s="4">
        <f>IFERROR(INDEX(Roadmap!$B$5:$B$16,MATCH(E63,Roadmap!$A$5:$A$16,0)),"")</f>
        <v/>
      </c>
      <c r="G63" s="4" t="inlineStr">
        <is>
          <t>Feature</t>
        </is>
      </c>
      <c r="H63" s="4" t="inlineStr">
        <is>
          <t>P2</t>
        </is>
      </c>
      <c r="I63" s="4" t="inlineStr">
        <is>
          <t>M</t>
        </is>
      </c>
      <c r="J63" s="4" t="inlineStr">
        <is>
          <t>Done</t>
        </is>
      </c>
      <c r="K63" s="4" t="inlineStr">
        <is>
          <t>SL-061</t>
        </is>
      </c>
      <c r="L63" s="4" t="inlineStr"/>
      <c r="M63" s="12" t="n"/>
      <c r="N63" s="12" t="n">
        <v>46314</v>
      </c>
      <c r="O63" s="4" t="inlineStr">
        <is>
          <t>Figma design</t>
        </is>
      </c>
      <c r="P63" s="4" t="inlineStr"/>
    </row>
    <row r="64">
      <c r="A64" s="4" t="inlineStr">
        <is>
          <t>SL-063</t>
        </is>
      </c>
      <c r="B64" s="4" t="inlineStr">
        <is>
          <t>Restyle login and signup</t>
        </is>
      </c>
      <c r="C64" s="4" t="inlineStr">
        <is>
          <t>Split layout with the dark brand panel</t>
        </is>
      </c>
      <c r="D64" s="4" t="inlineStr">
        <is>
          <t>Frontend</t>
        </is>
      </c>
      <c r="E64" s="4" t="inlineStr">
        <is>
          <t>M8</t>
        </is>
      </c>
      <c r="F64" s="4">
        <f>IFERROR(INDEX(Roadmap!$B$5:$B$16,MATCH(E64,Roadmap!$A$5:$A$16,0)),"")</f>
        <v/>
      </c>
      <c r="G64" s="4" t="inlineStr">
        <is>
          <t>Chore</t>
        </is>
      </c>
      <c r="H64" s="4" t="inlineStr">
        <is>
          <t>P2</t>
        </is>
      </c>
      <c r="I64" s="4" t="inlineStr">
        <is>
          <t>S</t>
        </is>
      </c>
      <c r="J64" s="4" t="inlineStr">
        <is>
          <t>Done</t>
        </is>
      </c>
      <c r="K64" s="4" t="inlineStr">
        <is>
          <t>SL-059</t>
        </is>
      </c>
      <c r="L64" s="4" t="inlineStr"/>
      <c r="M64" s="12" t="n"/>
      <c r="N64" s="12" t="n">
        <v>46314</v>
      </c>
      <c r="O64" s="4" t="inlineStr">
        <is>
          <t>Figma design</t>
        </is>
      </c>
      <c r="P64" s="4" t="inlineStr"/>
    </row>
    <row r="65">
      <c r="A65" s="4" t="inlineStr">
        <is>
          <t>SL-064</t>
        </is>
      </c>
      <c r="B65" s="4" t="inlineStr">
        <is>
          <t>Restyle homepage</t>
        </is>
      </c>
      <c r="C65" s="4" t="inlineStr">
        <is>
          <t>Hero with product preview, features, how it works, call to action</t>
        </is>
      </c>
      <c r="D65" s="4" t="inlineStr">
        <is>
          <t>Frontend</t>
        </is>
      </c>
      <c r="E65" s="4" t="inlineStr">
        <is>
          <t>M8</t>
        </is>
      </c>
      <c r="F65" s="4">
        <f>IFERROR(INDEX(Roadmap!$B$5:$B$16,MATCH(E65,Roadmap!$A$5:$A$16,0)),"")</f>
        <v/>
      </c>
      <c r="G65" s="4" t="inlineStr">
        <is>
          <t>Chore</t>
        </is>
      </c>
      <c r="H65" s="4" t="inlineStr">
        <is>
          <t>P2</t>
        </is>
      </c>
      <c r="I65" s="4" t="inlineStr">
        <is>
          <t>M</t>
        </is>
      </c>
      <c r="J65" s="4" t="inlineStr">
        <is>
          <t>Done</t>
        </is>
      </c>
      <c r="K65" s="4" t="inlineStr">
        <is>
          <t>SL-059</t>
        </is>
      </c>
      <c r="L65" s="4" t="inlineStr"/>
      <c r="M65" s="12" t="n"/>
      <c r="N65" s="12" t="n">
        <v>46314</v>
      </c>
      <c r="O65" s="4" t="inlineStr">
        <is>
          <t>Figma design</t>
        </is>
      </c>
      <c r="P65" s="4" t="inlineStr"/>
    </row>
    <row r="66">
      <c r="A66" s="4" t="inlineStr">
        <is>
          <t>SL-065</t>
        </is>
      </c>
      <c r="B66" s="4" t="inlineStr">
        <is>
          <t>Restyle dashboard</t>
        </is>
      </c>
      <c r="C66" s="4" t="inlineStr">
        <is>
          <t>Stat tiles, path progress rows, 30-day chart, recent sessions, empty state</t>
        </is>
      </c>
      <c r="D66" s="4" t="inlineStr">
        <is>
          <t>Frontend</t>
        </is>
      </c>
      <c r="E66" s="4" t="inlineStr">
        <is>
          <t>M8</t>
        </is>
      </c>
      <c r="F66" s="4">
        <f>IFERROR(INDEX(Roadmap!$B$5:$B$16,MATCH(E66,Roadmap!$A$5:$A$16,0)),"")</f>
        <v/>
      </c>
      <c r="G66" s="4" t="inlineStr">
        <is>
          <t>Chore</t>
        </is>
      </c>
      <c r="H66" s="4" t="inlineStr">
        <is>
          <t>P1</t>
        </is>
      </c>
      <c r="I66" s="4" t="inlineStr">
        <is>
          <t>M</t>
        </is>
      </c>
      <c r="J66" s="4" t="inlineStr">
        <is>
          <t>Done</t>
        </is>
      </c>
      <c r="K66" s="4" t="inlineStr">
        <is>
          <t>SL-061</t>
        </is>
      </c>
      <c r="L66" s="4" t="inlineStr"/>
      <c r="M66" s="12" t="n"/>
      <c r="N66" s="12" t="n">
        <v>46314</v>
      </c>
      <c r="O66" s="4" t="inlineStr">
        <is>
          <t>Figma design</t>
        </is>
      </c>
      <c r="P66" s="4" t="inlineStr"/>
    </row>
    <row r="67">
      <c r="A67" s="4" t="inlineStr">
        <is>
          <t>SL-066</t>
        </is>
      </c>
      <c r="B67" s="4" t="inlineStr">
        <is>
          <t>Restyle sessions page</t>
        </is>
      </c>
      <c r="C67" s="4" t="inlineStr">
        <is>
          <t>Day cards, session rows, log form, inline delete confirmation</t>
        </is>
      </c>
      <c r="D67" s="4" t="inlineStr">
        <is>
          <t>Frontend</t>
        </is>
      </c>
      <c r="E67" s="4" t="inlineStr">
        <is>
          <t>M8</t>
        </is>
      </c>
      <c r="F67" s="4">
        <f>IFERROR(INDEX(Roadmap!$B$5:$B$16,MATCH(E67,Roadmap!$A$5:$A$16,0)),"")</f>
        <v/>
      </c>
      <c r="G67" s="4" t="inlineStr">
        <is>
          <t>Chore</t>
        </is>
      </c>
      <c r="H67" s="4" t="inlineStr">
        <is>
          <t>P1</t>
        </is>
      </c>
      <c r="I67" s="4" t="inlineStr">
        <is>
          <t>M</t>
        </is>
      </c>
      <c r="J67" s="4" t="inlineStr">
        <is>
          <t>Done</t>
        </is>
      </c>
      <c r="K67" s="4" t="inlineStr">
        <is>
          <t>SL-061</t>
        </is>
      </c>
      <c r="L67" s="4" t="inlineStr"/>
      <c r="M67" s="12" t="n"/>
      <c r="N67" s="12" t="n">
        <v>46314</v>
      </c>
      <c r="O67" s="4" t="inlineStr">
        <is>
          <t>Figma design</t>
        </is>
      </c>
      <c r="P67" s="4" t="inlineStr"/>
    </row>
    <row r="68">
      <c r="A68" s="4" t="inlineStr">
        <is>
          <t>SL-067</t>
        </is>
      </c>
      <c r="B68" s="4" t="inlineStr">
        <is>
          <t>Restyle path page</t>
        </is>
      </c>
      <c r="C68" s="4" t="inlineStr">
        <is>
          <t>Module cards, topic accordions, item rows with status select, notes and exercises</t>
        </is>
      </c>
      <c r="D68" s="4" t="inlineStr">
        <is>
          <t>Frontend</t>
        </is>
      </c>
      <c r="E68" s="4" t="inlineStr">
        <is>
          <t>M8</t>
        </is>
      </c>
      <c r="F68" s="4">
        <f>IFERROR(INDEX(Roadmap!$B$5:$B$16,MATCH(E68,Roadmap!$A$5:$A$16,0)),"")</f>
        <v/>
      </c>
      <c r="G68" s="4" t="inlineStr">
        <is>
          <t>Chore</t>
        </is>
      </c>
      <c r="H68" s="4" t="inlineStr">
        <is>
          <t>P1</t>
        </is>
      </c>
      <c r="I68" s="4" t="inlineStr">
        <is>
          <t>M</t>
        </is>
      </c>
      <c r="J68" s="4" t="inlineStr">
        <is>
          <t>Done</t>
        </is>
      </c>
      <c r="K68" s="4" t="inlineStr">
        <is>
          <t>SL-061</t>
        </is>
      </c>
      <c r="L68" s="4" t="inlineStr"/>
      <c r="M68" s="12" t="n"/>
      <c r="N68" s="12" t="n">
        <v>46314</v>
      </c>
      <c r="O68" s="4" t="inlineStr">
        <is>
          <t>Figma design</t>
        </is>
      </c>
      <c r="P68" s="4" t="inlineStr"/>
    </row>
    <row r="69">
      <c r="A69" s="4" t="inlineStr">
        <is>
          <t>SL-068</t>
        </is>
      </c>
      <c r="B69" s="4" t="inlineStr">
        <is>
          <t>Loading skeletons and error states</t>
        </is>
      </c>
      <c r="C69" s="4" t="inlineStr">
        <is>
          <t>Per the Figma States section</t>
        </is>
      </c>
      <c r="D69" s="4" t="inlineStr">
        <is>
          <t>Frontend</t>
        </is>
      </c>
      <c r="E69" s="4" t="inlineStr">
        <is>
          <t>M8</t>
        </is>
      </c>
      <c r="F69" s="4">
        <f>IFERROR(INDEX(Roadmap!$B$5:$B$16,MATCH(E69,Roadmap!$A$5:$A$16,0)),"")</f>
        <v/>
      </c>
      <c r="G69" s="4" t="inlineStr">
        <is>
          <t>Chore</t>
        </is>
      </c>
      <c r="H69" s="4" t="inlineStr">
        <is>
          <t>P2</t>
        </is>
      </c>
      <c r="I69" s="4" t="inlineStr">
        <is>
          <t>S</t>
        </is>
      </c>
      <c r="J69" s="4" t="inlineStr">
        <is>
          <t>Done</t>
        </is>
      </c>
      <c r="K69" s="4" t="inlineStr">
        <is>
          <t>SL-059</t>
        </is>
      </c>
      <c r="L69" s="4" t="inlineStr"/>
      <c r="M69" s="12" t="n"/>
      <c r="N69" s="12" t="n">
        <v>46318</v>
      </c>
      <c r="O69" s="4" t="inlineStr">
        <is>
          <t>Figma design</t>
        </is>
      </c>
      <c r="P69" s="4" t="inlineStr">
        <is>
          <t>Every page: grey blocks in its shape while loading; errors as the Figma alert with Try again (or Browse paths)</t>
        </is>
      </c>
    </row>
    <row r="70">
      <c r="A70" s="4" t="inlineStr">
        <is>
          <t>SL-069</t>
        </is>
      </c>
      <c r="B70" s="4" t="inlineStr">
        <is>
          <t>Update UI tests for the redesign</t>
        </is>
      </c>
      <c r="C70" s="4" t="inlineStr">
        <is>
          <t>Playwright flows and selectors after the restyle</t>
        </is>
      </c>
      <c r="D70" s="4" t="inlineStr">
        <is>
          <t>Testing</t>
        </is>
      </c>
      <c r="E70" s="4" t="inlineStr">
        <is>
          <t>M8</t>
        </is>
      </c>
      <c r="F70" s="4">
        <f>IFERROR(INDEX(Roadmap!$B$5:$B$16,MATCH(E70,Roadmap!$A$5:$A$16,0)),"")</f>
        <v/>
      </c>
      <c r="G70" s="4" t="inlineStr">
        <is>
          <t>Chore</t>
        </is>
      </c>
      <c r="H70" s="4" t="inlineStr">
        <is>
          <t>P1</t>
        </is>
      </c>
      <c r="I70" s="4" t="inlineStr">
        <is>
          <t>S</t>
        </is>
      </c>
      <c r="J70" s="4" t="inlineStr">
        <is>
          <t>Done</t>
        </is>
      </c>
      <c r="K70" s="4" t="inlineStr">
        <is>
          <t>SL-065</t>
        </is>
      </c>
      <c r="L70" s="4" t="inlineStr"/>
      <c r="M70" s="12" t="n"/>
      <c r="N70" s="12" t="n">
        <v>46314</v>
      </c>
      <c r="O70" s="4" t="inlineStr">
        <is>
          <t>Figma design</t>
        </is>
      </c>
      <c r="P70" s="4" t="inlineStr"/>
    </row>
    <row r="71">
      <c r="A71" s="4" t="inlineStr">
        <is>
          <t>SL-070</t>
        </is>
      </c>
      <c r="B71" s="4" t="inlineStr">
        <is>
          <t>Analytics API</t>
        </is>
      </c>
      <c r="C71" s="4" t="inlineStr">
        <is>
          <t>GET /me/analytics?period=&amp;pathId=: time per week and per path, item status, difficulty, study habits, needs-focus topics (no new tables)</t>
        </is>
      </c>
      <c r="D71" s="4" t="inlineStr">
        <is>
          <t>Backend</t>
        </is>
      </c>
      <c r="E71" s="4" t="inlineStr">
        <is>
          <t>M9</t>
        </is>
      </c>
      <c r="F71" s="4">
        <f>IFERROR(INDEX(Roadmap!$B$5:$B$16,MATCH(E71,Roadmap!$A$5:$A$16,0)),"")</f>
        <v/>
      </c>
      <c r="G71" s="4" t="inlineStr">
        <is>
          <t>Feature</t>
        </is>
      </c>
      <c r="H71" s="4" t="inlineStr">
        <is>
          <t>P1</t>
        </is>
      </c>
      <c r="I71" s="4" t="inlineStr">
        <is>
          <t>L</t>
        </is>
      </c>
      <c r="J71" s="4" t="inlineStr">
        <is>
          <t>Done</t>
        </is>
      </c>
      <c r="K71" s="4" t="inlineStr"/>
      <c r="L71" s="4" t="inlineStr"/>
      <c r="M71" s="12" t="n"/>
      <c r="N71" s="12" t="n">
        <v>46314</v>
      </c>
      <c r="O71" s="4" t="inlineStr">
        <is>
          <t>Figma design</t>
        </is>
      </c>
      <c r="P71" s="4" t="inlineStr"/>
    </row>
    <row r="72">
      <c r="A72" s="4" t="inlineStr">
        <is>
          <t>SL-071</t>
        </is>
      </c>
      <c r="B72" s="4" t="inlineStr">
        <is>
          <t>Analytics page</t>
        </is>
      </c>
      <c r="C72" s="4" t="inlineStr">
        <is>
          <t>Web page per Figma (Insights · Analytics)</t>
        </is>
      </c>
      <c r="D72" s="4" t="inlineStr">
        <is>
          <t>Frontend</t>
        </is>
      </c>
      <c r="E72" s="4" t="inlineStr">
        <is>
          <t>M9</t>
        </is>
      </c>
      <c r="F72" s="4">
        <f>IFERROR(INDEX(Roadmap!$B$5:$B$16,MATCH(E72,Roadmap!$A$5:$A$16,0)),"")</f>
        <v/>
      </c>
      <c r="G72" s="4" t="inlineStr">
        <is>
          <t>Feature</t>
        </is>
      </c>
      <c r="H72" s="4" t="inlineStr">
        <is>
          <t>P1</t>
        </is>
      </c>
      <c r="I72" s="4" t="inlineStr">
        <is>
          <t>L</t>
        </is>
      </c>
      <c r="J72" s="4" t="inlineStr">
        <is>
          <t>Done</t>
        </is>
      </c>
      <c r="K72" s="4" t="inlineStr">
        <is>
          <t>SL-070</t>
        </is>
      </c>
      <c r="L72" s="4" t="inlineStr"/>
      <c r="M72" s="12" t="n"/>
      <c r="N72" s="12" t="n">
        <v>46318</v>
      </c>
      <c r="O72" s="4" t="inlineStr">
        <is>
          <t>Figma design</t>
        </is>
      </c>
      <c r="P72" s="4" t="inlineStr"/>
    </row>
    <row r="73">
      <c r="A73" s="4" t="inlineStr">
        <is>
          <t>SL-072</t>
        </is>
      </c>
      <c r="B73" s="4" t="inlineStr">
        <is>
          <t>Interview goal</t>
        </is>
      </c>
      <c r="C73" s="4" t="inlineStr">
        <is>
          <t>Table and migration (name, date, paths); GET/PUT/DELETE /me/interview-goal</t>
        </is>
      </c>
      <c r="D73" s="4" t="inlineStr">
        <is>
          <t>Backend</t>
        </is>
      </c>
      <c r="E73" s="4" t="inlineStr">
        <is>
          <t>M9</t>
        </is>
      </c>
      <c r="F73" s="4">
        <f>IFERROR(INDEX(Roadmap!$B$5:$B$16,MATCH(E73,Roadmap!$A$5:$A$16,0)),"")</f>
        <v/>
      </c>
      <c r="G73" s="4" t="inlineStr">
        <is>
          <t>Feature</t>
        </is>
      </c>
      <c r="H73" s="4" t="inlineStr">
        <is>
          <t>P1</t>
        </is>
      </c>
      <c r="I73" s="4" t="inlineStr">
        <is>
          <t>M</t>
        </is>
      </c>
      <c r="J73" s="4" t="inlineStr">
        <is>
          <t>Done</t>
        </is>
      </c>
      <c r="K73" s="4" t="inlineStr"/>
      <c r="L73" s="4" t="inlineStr"/>
      <c r="M73" s="12" t="n"/>
      <c r="N73" s="12" t="n">
        <v>46314</v>
      </c>
      <c r="O73" s="4" t="inlineStr">
        <is>
          <t>Figma design</t>
        </is>
      </c>
      <c r="P73" s="4" t="inlineStr"/>
    </row>
    <row r="74">
      <c r="A74" s="4" t="inlineStr">
        <is>
          <t>SL-073</t>
        </is>
      </c>
      <c r="B74" s="4" t="inlineStr">
        <is>
          <t>Readiness API</t>
        </is>
      </c>
      <c r="C74" s="4" t="inlineStr">
        <is>
          <t>GET /me/readiness: score (coverage 40, depth 25, revision 15, consistency 20), checks, pace, next steps</t>
        </is>
      </c>
      <c r="D74" s="4" t="inlineStr">
        <is>
          <t>Backend</t>
        </is>
      </c>
      <c r="E74" s="4" t="inlineStr">
        <is>
          <t>M9</t>
        </is>
      </c>
      <c r="F74" s="4">
        <f>IFERROR(INDEX(Roadmap!$B$5:$B$16,MATCH(E74,Roadmap!$A$5:$A$16,0)),"")</f>
        <v/>
      </c>
      <c r="G74" s="4" t="inlineStr">
        <is>
          <t>Feature</t>
        </is>
      </c>
      <c r="H74" s="4" t="inlineStr">
        <is>
          <t>P1</t>
        </is>
      </c>
      <c r="I74" s="4" t="inlineStr">
        <is>
          <t>L</t>
        </is>
      </c>
      <c r="J74" s="4" t="inlineStr">
        <is>
          <t>Done</t>
        </is>
      </c>
      <c r="K74" s="4" t="inlineStr">
        <is>
          <t>SL-072</t>
        </is>
      </c>
      <c r="L74" s="4" t="inlineStr"/>
      <c r="M74" s="12" t="n"/>
      <c r="N74" s="12" t="n">
        <v>46314</v>
      </c>
      <c r="O74" s="4" t="inlineStr">
        <is>
          <t>Figma design</t>
        </is>
      </c>
      <c r="P74" s="4" t="inlineStr"/>
    </row>
    <row r="75">
      <c r="A75" s="4" t="inlineStr">
        <is>
          <t>SL-074</t>
        </is>
      </c>
      <c r="B75" s="4" t="inlineStr">
        <is>
          <t>Interview ready page</t>
        </is>
      </c>
      <c r="C75" s="4" t="inlineStr">
        <is>
          <t>Score ring, category checks, next steps, set-a-goal dialog (Figma Insights section)</t>
        </is>
      </c>
      <c r="D75" s="4" t="inlineStr">
        <is>
          <t>Frontend</t>
        </is>
      </c>
      <c r="E75" s="4" t="inlineStr">
        <is>
          <t>M9</t>
        </is>
      </c>
      <c r="F75" s="4">
        <f>IFERROR(INDEX(Roadmap!$B$5:$B$16,MATCH(E75,Roadmap!$A$5:$A$16,0)),"")</f>
        <v/>
      </c>
      <c r="G75" s="4" t="inlineStr">
        <is>
          <t>Feature</t>
        </is>
      </c>
      <c r="H75" s="4" t="inlineStr">
        <is>
          <t>P1</t>
        </is>
      </c>
      <c r="I75" s="4" t="inlineStr">
        <is>
          <t>L</t>
        </is>
      </c>
      <c r="J75" s="4" t="inlineStr">
        <is>
          <t>Done</t>
        </is>
      </c>
      <c r="K75" s="4" t="inlineStr">
        <is>
          <t>SL-073</t>
        </is>
      </c>
      <c r="L75" s="4" t="inlineStr"/>
      <c r="M75" s="12" t="n"/>
      <c r="N75" s="12" t="n">
        <v>46318</v>
      </c>
      <c r="O75" s="4" t="inlineStr">
        <is>
          <t>Figma design</t>
        </is>
      </c>
      <c r="P75" s="4" t="inlineStr"/>
    </row>
    <row r="76">
      <c r="A76" s="4" t="inlineStr">
        <is>
          <t>SL-075</t>
        </is>
      </c>
      <c r="B76" s="4" t="inlineStr">
        <is>
          <t>Tests for insights</t>
        </is>
      </c>
      <c r="C76" s="4" t="inlineStr">
        <is>
          <t>Unit tests at 100% coverage; UI tests for Analytics and Interview ready</t>
        </is>
      </c>
      <c r="D76" s="4" t="inlineStr">
        <is>
          <t>Testing</t>
        </is>
      </c>
      <c r="E76" s="4" t="inlineStr">
        <is>
          <t>M9</t>
        </is>
      </c>
      <c r="F76" s="4">
        <f>IFERROR(INDEX(Roadmap!$B$5:$B$16,MATCH(E76,Roadmap!$A$5:$A$16,0)),"")</f>
        <v/>
      </c>
      <c r="G76" s="4" t="inlineStr">
        <is>
          <t>Chore</t>
        </is>
      </c>
      <c r="H76" s="4" t="inlineStr">
        <is>
          <t>P1</t>
        </is>
      </c>
      <c r="I76" s="4" t="inlineStr">
        <is>
          <t>M</t>
        </is>
      </c>
      <c r="J76" s="4" t="inlineStr">
        <is>
          <t>Done</t>
        </is>
      </c>
      <c r="K76" s="4" t="inlineStr">
        <is>
          <t>SL-074</t>
        </is>
      </c>
      <c r="L76" s="4" t="inlineStr"/>
      <c r="M76" s="12" t="n"/>
      <c r="N76" s="12" t="n">
        <v>46318</v>
      </c>
      <c r="O76" s="4" t="inlineStr">
        <is>
          <t>Figma design</t>
        </is>
      </c>
      <c r="P76" s="4" t="inlineStr">
        <is>
          <t>API unit tests done (100%); UI tests come with the pages</t>
        </is>
      </c>
    </row>
    <row r="77">
      <c r="A77" s="4" t="inlineStr">
        <is>
          <t>SL-076</t>
        </is>
      </c>
      <c r="B77" s="4" t="inlineStr">
        <is>
          <t>Database backups off the server</t>
        </is>
      </c>
      <c r="C77" s="4" t="inlineStr">
        <is>
          <t>Nightly pg_dump as a Kubernetes CronJob, uploaded to object storage outside Civo (Cloudflare R2 or Backblaze B2 free tier, or Civo Object Store about $5.43/month); keep 30 days; test a restore</t>
        </is>
      </c>
      <c r="D77" s="4" t="inlineStr">
        <is>
          <t>Operations</t>
        </is>
      </c>
      <c r="E77" s="4" t="inlineStr">
        <is>
          <t>M2</t>
        </is>
      </c>
      <c r="F77" s="4">
        <f>IFERROR(INDEX(Roadmap!$B$5:$B$16,MATCH(E77,Roadmap!$A$5:$A$16,0)),"")</f>
        <v/>
      </c>
      <c r="G77" s="4" t="inlineStr">
        <is>
          <t>Feature</t>
        </is>
      </c>
      <c r="H77" s="4" t="inlineStr">
        <is>
          <t>P1</t>
        </is>
      </c>
      <c r="I77" s="4" t="inlineStr">
        <is>
          <t>M</t>
        </is>
      </c>
      <c r="J77" s="4" t="inlineStr">
        <is>
          <t>Not started</t>
        </is>
      </c>
      <c r="K77" s="4" t="inlineStr">
        <is>
          <t>SL-023</t>
        </is>
      </c>
      <c r="L77" s="4" t="n"/>
      <c r="M77" s="12" t="n"/>
      <c r="N77" s="12" t="n"/>
      <c r="O77" s="4" t="inlineStr">
        <is>
          <t>Proposed</t>
        </is>
      </c>
      <c r="P77" s="4" t="inlineStr">
        <is>
          <t>The database volume is set to Retain, but that is not a backup. Decide the storage first.</t>
        </is>
      </c>
    </row>
    <row r="78">
      <c r="A78" s="4" t="inlineStr">
        <is>
          <t>SL-077</t>
        </is>
      </c>
      <c r="B78" s="4" t="inlineStr">
        <is>
          <t>Finish Brevo email authentication</t>
        </is>
      </c>
      <c r="C78" s="4" t="inlineStr">
        <is>
          <t>Merge SPF into one record (v=spf1 include:zoho.in include:spf.brevo.com ~all); Authenticate the domain in Brevo; check DKIM and DMARC pass in Gmail ("Show original")</t>
        </is>
      </c>
      <c r="D78" s="4" t="inlineStr">
        <is>
          <t>Operations</t>
        </is>
      </c>
      <c r="E78" s="4" t="inlineStr">
        <is>
          <t>M2</t>
        </is>
      </c>
      <c r="F78" s="4">
        <f>IFERROR(INDEX(Roadmap!$B$5:$B$16,MATCH(E78,Roadmap!$A$5:$A$16,0)),"")</f>
        <v/>
      </c>
      <c r="G78" s="4" t="inlineStr">
        <is>
          <t>Chore</t>
        </is>
      </c>
      <c r="H78" s="4" t="inlineStr">
        <is>
          <t>P1</t>
        </is>
      </c>
      <c r="I78" s="4" t="inlineStr">
        <is>
          <t>XS</t>
        </is>
      </c>
      <c r="J78" s="4" t="inlineStr">
        <is>
          <t>Done</t>
        </is>
      </c>
      <c r="K78" s="4" t="n"/>
      <c r="L78" s="4" t="n"/>
      <c r="M78" s="12" t="n"/>
      <c r="N78" s="12" t="n">
        <v>46321</v>
      </c>
      <c r="O78" s="4" t="inlineStr">
        <is>
          <t>Proposed</t>
        </is>
      </c>
      <c r="P78" s="4" t="inlineStr">
        <is>
          <t>Checked in public DNS on 2026-10-26: one SPF record with Zoho and Brevo, DKIM brevo1/brevo2, DMARC and brevo-code all live. Later: DMARC p=none → p=quarantine after a few weeks of clean reports.</t>
        </is>
      </c>
    </row>
    <row r="79">
      <c r="A79" s="4" t="inlineStr">
        <is>
          <t>SL-078</t>
        </is>
      </c>
      <c r="B79" s="4" t="inlineStr">
        <is>
          <t>Redirect www to gradiaqo.com</t>
        </is>
      </c>
      <c r="C79" s="4" t="inlineStr">
        <is>
          <t>www.gradiaqo.com has a CNAME but no certificate or route: add it to the Ingress and certificate, redirecting to the bare domain</t>
        </is>
      </c>
      <c r="D79" s="4" t="inlineStr">
        <is>
          <t>DevOps</t>
        </is>
      </c>
      <c r="E79" s="4" t="inlineStr">
        <is>
          <t>M2</t>
        </is>
      </c>
      <c r="F79" s="4">
        <f>IFERROR(INDEX(Roadmap!$B$5:$B$16,MATCH(E79,Roadmap!$A$5:$A$16,0)),"")</f>
        <v/>
      </c>
      <c r="G79" s="4" t="inlineStr">
        <is>
          <t>Bug</t>
        </is>
      </c>
      <c r="H79" s="4" t="inlineStr">
        <is>
          <t>P2</t>
        </is>
      </c>
      <c r="I79" s="4" t="inlineStr">
        <is>
          <t>XS</t>
        </is>
      </c>
      <c r="J79" s="4" t="inlineStr">
        <is>
          <t>Not started</t>
        </is>
      </c>
      <c r="K79" s="4" t="inlineStr">
        <is>
          <t>SL-023</t>
        </is>
      </c>
      <c r="L79" s="4" t="n"/>
      <c r="M79" s="12" t="n"/>
      <c r="N79" s="12" t="n"/>
      <c r="O79" s="4" t="inlineStr">
        <is>
          <t>Proposed</t>
        </is>
      </c>
      <c r="P79" s="4" t="n"/>
    </row>
    <row r="80">
      <c r="A80" s="4" t="inlineStr">
        <is>
          <t>SL-079</t>
        </is>
      </c>
      <c r="B80" s="4" t="inlineStr">
        <is>
          <t>Uptime monitoring</t>
        </is>
      </c>
      <c r="C80" s="4" t="inlineStr">
        <is>
          <t>External check on https://gradiaqo.com/health (e.g. UptimeRobot or Better Stack) with email alerts</t>
        </is>
      </c>
      <c r="D80" s="4" t="inlineStr">
        <is>
          <t>Operations</t>
        </is>
      </c>
      <c r="E80" s="4" t="inlineStr">
        <is>
          <t>M2</t>
        </is>
      </c>
      <c r="F80" s="4">
        <f>IFERROR(INDEX(Roadmap!$B$5:$B$16,MATCH(E80,Roadmap!$A$5:$A$16,0)),"")</f>
        <v/>
      </c>
      <c r="G80" s="4" t="inlineStr">
        <is>
          <t>Feature</t>
        </is>
      </c>
      <c r="H80" s="4" t="inlineStr">
        <is>
          <t>P2</t>
        </is>
      </c>
      <c r="I80" s="4" t="inlineStr">
        <is>
          <t>XS</t>
        </is>
      </c>
      <c r="J80" s="4" t="inlineStr">
        <is>
          <t>Not started</t>
        </is>
      </c>
      <c r="K80" s="4" t="inlineStr">
        <is>
          <t>SL-023</t>
        </is>
      </c>
      <c r="L80" s="4" t="n"/>
      <c r="M80" s="12" t="n"/>
      <c r="N80" s="12" t="n"/>
      <c r="O80" s="4" t="inlineStr">
        <is>
          <t>Proposed</t>
        </is>
      </c>
      <c r="P80" s="4" t="n"/>
    </row>
    <row r="81">
      <c r="A81" s="4" t="inlineStr">
        <is>
          <t>SL-080</t>
        </is>
      </c>
      <c r="B81" s="4" t="inlineStr">
        <is>
          <t>CI: migration check and mutation testing</t>
        </is>
      </c>
      <c r="C81" s="4" t="inlineStr">
        <is>
          <t>The parts of SL-020 not built yet: migration:generate --check (entities and migrations agree) and incremental mutation testing on pull requests</t>
        </is>
      </c>
      <c r="D81" s="4" t="inlineStr">
        <is>
          <t>DevOps</t>
        </is>
      </c>
      <c r="E81" s="4" t="inlineStr">
        <is>
          <t>M2</t>
        </is>
      </c>
      <c r="F81" s="4">
        <f>IFERROR(INDEX(Roadmap!$B$5:$B$16,MATCH(E81,Roadmap!$A$5:$A$16,0)),"")</f>
        <v/>
      </c>
      <c r="G81" s="4" t="inlineStr">
        <is>
          <t>Chore</t>
        </is>
      </c>
      <c r="H81" s="4" t="inlineStr">
        <is>
          <t>P3</t>
        </is>
      </c>
      <c r="I81" s="4" t="inlineStr">
        <is>
          <t>S</t>
        </is>
      </c>
      <c r="J81" s="4" t="inlineStr">
        <is>
          <t>Not started</t>
        </is>
      </c>
      <c r="K81" s="4" t="inlineStr">
        <is>
          <t>SL-020</t>
        </is>
      </c>
      <c r="L81" s="4" t="n"/>
      <c r="M81" s="12" t="n"/>
      <c r="N81" s="12" t="n"/>
      <c r="O81" s="4" t="inlineStr">
        <is>
          <t>Proposed</t>
        </is>
      </c>
      <c r="P81" s="4" t="n"/>
    </row>
    <row r="82">
      <c r="A82" s="4" t="inlineStr">
        <is>
          <t>SL-081</t>
        </is>
      </c>
      <c r="B82" s="4" t="inlineStr">
        <is>
          <t>Shorter SMTP timeouts</t>
        </is>
      </c>
      <c r="C82" s="4" t="inlineStr">
        <is>
          <t>When the mail server can't be reached, signup waits about 30 s for the connection to time out; set nodemailer connection and greeting timeouts of a few seconds</t>
        </is>
      </c>
      <c r="D82" s="4" t="inlineStr">
        <is>
          <t>Backend</t>
        </is>
      </c>
      <c r="E82" s="4" t="inlineStr">
        <is>
          <t>M2</t>
        </is>
      </c>
      <c r="F82" s="4">
        <f>IFERROR(INDEX(Roadmap!$B$5:$B$16,MATCH(E82,Roadmap!$A$5:$A$16,0)),"")</f>
        <v/>
      </c>
      <c r="G82" s="4" t="inlineStr">
        <is>
          <t>Bug</t>
        </is>
      </c>
      <c r="H82" s="4" t="inlineStr">
        <is>
          <t>P2</t>
        </is>
      </c>
      <c r="I82" s="4" t="inlineStr">
        <is>
          <t>XS</t>
        </is>
      </c>
      <c r="J82" s="4" t="inlineStr">
        <is>
          <t>Not started</t>
        </is>
      </c>
      <c r="K82" s="4" t="n"/>
      <c r="L82" s="4" t="n"/>
      <c r="M82" s="12" t="n"/>
      <c r="N82" s="12" t="n"/>
      <c r="O82" s="4" t="inlineStr">
        <is>
          <t>Proposed</t>
        </is>
      </c>
      <c r="P82" s="4" t="inlineStr">
        <is>
          <t>Seen on the first production signup, before SMTP moved to port 2525.</t>
        </is>
      </c>
    </row>
    <row r="83">
      <c r="A83" s="4" t="inlineStr">
        <is>
          <t>SL-082</t>
        </is>
      </c>
      <c r="B83" s="4" t="inlineStr">
        <is>
          <t>Rebrand the app to Gradiaqo</t>
        </is>
      </c>
      <c r="C83" s="4" t="inlineStr">
        <is>
          <t>The web app, page titles, homepage and image names still say StudyLog; emails already say Gradiaqo (BRAND in apps/api/src/mail/templates.ts)</t>
        </is>
      </c>
      <c r="D83" s="4" t="inlineStr">
        <is>
          <t>Frontend</t>
        </is>
      </c>
      <c r="E83" s="4" t="inlineStr">
        <is>
          <t>M2</t>
        </is>
      </c>
      <c r="F83" s="4">
        <f>IFERROR(INDEX(Roadmap!$B$5:$B$16,MATCH(E83,Roadmap!$A$5:$A$16,0)),"")</f>
        <v/>
      </c>
      <c r="G83" s="4" t="inlineStr">
        <is>
          <t>Chore</t>
        </is>
      </c>
      <c r="H83" s="4" t="inlineStr">
        <is>
          <t>P2</t>
        </is>
      </c>
      <c r="I83" s="4" t="inlineStr">
        <is>
          <t>M</t>
        </is>
      </c>
      <c r="J83" s="4" t="inlineStr">
        <is>
          <t>Not started</t>
        </is>
      </c>
      <c r="K83" s="4" t="n"/>
      <c r="L83" s="4" t="n"/>
      <c r="M83" s="12" t="n"/>
      <c r="N83" s="12" t="n"/>
      <c r="O83" s="4" t="inlineStr">
        <is>
          <t>Proposed</t>
        </is>
      </c>
      <c r="P83" s="4" t="n"/>
    </row>
    <row r="84">
      <c r="A84" s="4" t="inlineStr">
        <is>
          <t>SL-083</t>
        </is>
      </c>
      <c r="B84" s="4" t="inlineStr">
        <is>
          <t>CLI: user:promote</t>
        </is>
      </c>
      <c r="C84" s="4" t="inlineStr">
        <is>
          <t>yarn cli user:promote &lt;email&gt; (and --demote) to make a superadmin without SQL; documented in deploy/k8s/README.md</t>
        </is>
      </c>
      <c r="D84" s="4" t="inlineStr">
        <is>
          <t>Tooling</t>
        </is>
      </c>
      <c r="E84" s="4" t="inlineStr">
        <is>
          <t>M10</t>
        </is>
      </c>
      <c r="F84" s="4">
        <f>IFERROR(INDEX(Roadmap!$B$5:$B$16,MATCH(E84,Roadmap!$A$5:$A$16,0)),"")</f>
        <v/>
      </c>
      <c r="G84" s="4" t="inlineStr">
        <is>
          <t>Feature</t>
        </is>
      </c>
      <c r="H84" s="4" t="inlineStr">
        <is>
          <t>P1</t>
        </is>
      </c>
      <c r="I84" s="4" t="inlineStr">
        <is>
          <t>XS</t>
        </is>
      </c>
      <c r="J84" s="4" t="inlineStr">
        <is>
          <t>Not started</t>
        </is>
      </c>
      <c r="K84" s="4" t="n"/>
      <c r="L84" s="4" t="n"/>
      <c r="M84" s="12" t="n"/>
      <c r="N84" s="12" t="n"/>
      <c r="O84" s="4" t="inlineStr">
        <is>
          <t>Proposed</t>
        </is>
      </c>
      <c r="P84" s="4" t="inlineStr">
        <is>
          <t>The first superadmin was set with a manual UPDATE on 2026-10-24.</t>
        </is>
      </c>
    </row>
    <row r="85">
      <c r="A85" s="4" t="inlineStr">
        <is>
          <t>SL-084</t>
        </is>
      </c>
      <c r="B85" s="4" t="inlineStr">
        <is>
          <t>Admin users API</t>
        </is>
      </c>
      <c r="C85" s="4" t="inlineStr">
        <is>
          <t>GET /admin/users (search by email or name, paginated; verified, role, created, last login if tracked), PATCH platform role, DELETE an account (spam)</t>
        </is>
      </c>
      <c r="D85" s="4" t="inlineStr">
        <is>
          <t>Backend</t>
        </is>
      </c>
      <c r="E85" s="4" t="inlineStr">
        <is>
          <t>M10</t>
        </is>
      </c>
      <c r="F85" s="4">
        <f>IFERROR(INDEX(Roadmap!$B$5:$B$16,MATCH(E85,Roadmap!$A$5:$A$16,0)),"")</f>
        <v/>
      </c>
      <c r="G85" s="4" t="inlineStr">
        <is>
          <t>Feature</t>
        </is>
      </c>
      <c r="H85" s="4" t="inlineStr">
        <is>
          <t>P1</t>
        </is>
      </c>
      <c r="I85" s="4" t="inlineStr">
        <is>
          <t>M</t>
        </is>
      </c>
      <c r="J85" s="4" t="inlineStr">
        <is>
          <t>Not started</t>
        </is>
      </c>
      <c r="K85" s="4" t="n"/>
      <c r="L85" s="4" t="n"/>
      <c r="M85" s="12" t="n"/>
      <c r="N85" s="12" t="n"/>
      <c r="O85" s="4" t="inlineStr">
        <is>
          <t>Proposed</t>
        </is>
      </c>
      <c r="P85" s="4" t="n"/>
    </row>
    <row r="86">
      <c r="A86" s="4" t="inlineStr">
        <is>
          <t>SL-085</t>
        </is>
      </c>
      <c r="B86" s="4" t="inlineStr">
        <is>
          <t>Admin users page</t>
        </is>
      </c>
      <c r="C86" s="4" t="inlineStr">
        <is>
          <t>/app/admin/users: search, verified badge, promote or demote superadmin, remove an account with confirmation; sidebar link</t>
        </is>
      </c>
      <c r="D86" s="4" t="inlineStr">
        <is>
          <t>Frontend</t>
        </is>
      </c>
      <c r="E86" s="4" t="inlineStr">
        <is>
          <t>M10</t>
        </is>
      </c>
      <c r="F86" s="4">
        <f>IFERROR(INDEX(Roadmap!$B$5:$B$16,MATCH(E86,Roadmap!$A$5:$A$16,0)),"")</f>
        <v/>
      </c>
      <c r="G86" s="4" t="inlineStr">
        <is>
          <t>Feature</t>
        </is>
      </c>
      <c r="H86" s="4" t="inlineStr">
        <is>
          <t>P1</t>
        </is>
      </c>
      <c r="I86" s="4" t="inlineStr">
        <is>
          <t>L</t>
        </is>
      </c>
      <c r="J86" s="4" t="inlineStr">
        <is>
          <t>Not started</t>
        </is>
      </c>
      <c r="K86" s="4" t="inlineStr">
        <is>
          <t>SL-084</t>
        </is>
      </c>
      <c r="L86" s="4" t="n"/>
      <c r="M86" s="12" t="n"/>
      <c r="N86" s="12" t="n"/>
      <c r="O86" s="4" t="inlineStr">
        <is>
          <t>Proposed</t>
        </is>
      </c>
      <c r="P86" s="4" t="n"/>
    </row>
    <row r="87">
      <c r="A87" s="4" t="inlineStr">
        <is>
          <t>SL-086</t>
        </is>
      </c>
      <c r="B87" s="4" t="inlineStr">
        <is>
          <t>Admin platform overview</t>
        </is>
      </c>
      <c r="C87" s="4" t="inlineStr">
        <is>
          <t>Sign-ups per day, active learners, verified vs unverified accounts, most-enrolled paths; API and page; becomes the /app/admin landing page (today it redirects to the catalog)</t>
        </is>
      </c>
      <c r="D87" s="4" t="inlineStr">
        <is>
          <t>Frontend</t>
        </is>
      </c>
      <c r="E87" s="4" t="inlineStr">
        <is>
          <t>M10</t>
        </is>
      </c>
      <c r="F87" s="4">
        <f>IFERROR(INDEX(Roadmap!$B$5:$B$16,MATCH(E87,Roadmap!$A$5:$A$16,0)),"")</f>
        <v/>
      </c>
      <c r="G87" s="4" t="inlineStr">
        <is>
          <t>Feature</t>
        </is>
      </c>
      <c r="H87" s="4" t="inlineStr">
        <is>
          <t>P2</t>
        </is>
      </c>
      <c r="I87" s="4" t="inlineStr">
        <is>
          <t>L</t>
        </is>
      </c>
      <c r="J87" s="4" t="inlineStr">
        <is>
          <t>Not started</t>
        </is>
      </c>
      <c r="K87" s="4" t="n"/>
      <c r="L87" s="4" t="n"/>
      <c r="M87" s="12" t="n"/>
      <c r="N87" s="12" t="n"/>
      <c r="O87" s="4" t="inlineStr">
        <is>
          <t>Proposed</t>
        </is>
      </c>
      <c r="P87" s="4" t="n"/>
    </row>
    <row r="88">
      <c r="A88" s="4" t="inlineStr">
        <is>
          <t>SL-087</t>
        </is>
      </c>
      <c r="B88" s="4" t="inlineStr">
        <is>
          <t>Admin organizations oversight</t>
        </is>
      </c>
      <c r="C88" s="4" t="inlineStr">
        <is>
          <t>List every organization with its members and paths, for abuse and support requests; API and page</t>
        </is>
      </c>
      <c r="D88" s="4" t="inlineStr">
        <is>
          <t>Frontend</t>
        </is>
      </c>
      <c r="E88" s="4" t="inlineStr">
        <is>
          <t>M10</t>
        </is>
      </c>
      <c r="F88" s="4">
        <f>IFERROR(INDEX(Roadmap!$B$5:$B$16,MATCH(E88,Roadmap!$A$5:$A$16,0)),"")</f>
        <v/>
      </c>
      <c r="G88" s="4" t="inlineStr">
        <is>
          <t>Feature</t>
        </is>
      </c>
      <c r="H88" s="4" t="inlineStr">
        <is>
          <t>P3</t>
        </is>
      </c>
      <c r="I88" s="4" t="inlineStr">
        <is>
          <t>M</t>
        </is>
      </c>
      <c r="J88" s="4" t="inlineStr">
        <is>
          <t>Not started</t>
        </is>
      </c>
      <c r="K88" s="4" t="n"/>
      <c r="L88" s="4" t="n"/>
      <c r="M88" s="12" t="n"/>
      <c r="N88" s="12" t="n"/>
      <c r="O88" s="4" t="inlineStr">
        <is>
          <t>Proposed</t>
        </is>
      </c>
      <c r="P88" s="4" t="n"/>
    </row>
    <row r="89">
      <c r="A89" s="4" t="inlineStr">
        <is>
          <t>SL-088</t>
        </is>
      </c>
      <c r="B89" s="4" t="inlineStr">
        <is>
          <t>Admin audit log</t>
        </is>
      </c>
      <c r="C89" s="4" t="inlineStr">
        <is>
          <t>Record who hid, un-hid, published, archived or promoted what and when; a page to browse it</t>
        </is>
      </c>
      <c r="D89" s="4" t="inlineStr">
        <is>
          <t>Backend</t>
        </is>
      </c>
      <c r="E89" s="4" t="inlineStr">
        <is>
          <t>M10</t>
        </is>
      </c>
      <c r="F89" s="4">
        <f>IFERROR(INDEX(Roadmap!$B$5:$B$16,MATCH(E89,Roadmap!$A$5:$A$16,0)),"")</f>
        <v/>
      </c>
      <c r="G89" s="4" t="inlineStr">
        <is>
          <t>Feature</t>
        </is>
      </c>
      <c r="H89" s="4" t="inlineStr">
        <is>
          <t>P3</t>
        </is>
      </c>
      <c r="I89" s="4" t="inlineStr">
        <is>
          <t>M</t>
        </is>
      </c>
      <c r="J89" s="4" t="inlineStr">
        <is>
          <t>Not started</t>
        </is>
      </c>
      <c r="K89" s="4" t="n"/>
      <c r="L89" s="4" t="n"/>
      <c r="M89" s="12" t="n"/>
      <c r="N89" s="12" t="n"/>
      <c r="O89" s="4" t="inlineStr">
        <is>
          <t>Proposed</t>
        </is>
      </c>
      <c r="P89" s="4" t="n"/>
    </row>
    <row r="90">
      <c r="A90" s="4" t="inlineStr">
        <is>
          <t>SL-089</t>
        </is>
      </c>
      <c r="B90" s="4" t="inlineStr">
        <is>
          <t>SEO basics</t>
        </is>
      </c>
      <c r="C90" s="4" t="inlineStr">
        <is>
          <t>A title and description per public page (home, login, signup) under the Gradiaqo name; Open Graph and Twitter tags with a 1200×630 share image, so shared links show a card; robots.txt (allow /, disallow /app/) and sitemap.xml served by Caddy; noindex on /app pages; favicon.ico</t>
        </is>
      </c>
      <c r="D90" s="4" t="inlineStr">
        <is>
          <t>Frontend</t>
        </is>
      </c>
      <c r="E90" s="4" t="inlineStr">
        <is>
          <t>M2</t>
        </is>
      </c>
      <c r="F90" s="4">
        <f>IFERROR(INDEX(Roadmap!$B$5:$B$16,MATCH(E90,Roadmap!$A$5:$A$16,0)),"")</f>
        <v/>
      </c>
      <c r="G90" s="4" t="inlineStr">
        <is>
          <t>Feature</t>
        </is>
      </c>
      <c r="H90" s="4" t="inlineStr">
        <is>
          <t>P2</t>
        </is>
      </c>
      <c r="I90" s="4" t="inlineStr">
        <is>
          <t>M</t>
        </is>
      </c>
      <c r="J90" s="4" t="inlineStr">
        <is>
          <t>Not started</t>
        </is>
      </c>
      <c r="K90" s="4" t="inlineStr">
        <is>
          <t>SL-082</t>
        </is>
      </c>
      <c r="L90" s="4" t="n"/>
      <c r="M90" s="12" t="n"/>
      <c r="N90" s="12" t="n"/>
      <c r="O90" s="4" t="inlineStr">
        <is>
          <t>Proposed</t>
        </is>
      </c>
      <c r="P90" s="4" t="inlineStr">
        <is>
          <t>Today every page is titled "StudyLog", there are no preview tags, and robots.txt and sitemap.xml return the API's 404.</t>
        </is>
      </c>
    </row>
    <row r="91">
      <c r="A91" s="4" t="inlineStr">
        <is>
          <t>SL-090</t>
        </is>
      </c>
      <c r="B91" s="4" t="inlineStr">
        <is>
          <t>Pre-render the homepage</t>
        </is>
      </c>
      <c r="C91" s="4" t="inlineStr">
        <is>
          <t>Render the homepage to static HTML at build time, so search engines and link previews (WhatsApp, LinkedIn, Slack) see its content instead of an empty &lt;div id="root"&gt;</t>
        </is>
      </c>
      <c r="D91" s="4" t="inlineStr">
        <is>
          <t>Frontend</t>
        </is>
      </c>
      <c r="E91" s="4" t="inlineStr">
        <is>
          <t>M2</t>
        </is>
      </c>
      <c r="F91" s="4">
        <f>IFERROR(INDEX(Roadmap!$B$5:$B$16,MATCH(E91,Roadmap!$A$5:$A$16,0)),"")</f>
        <v/>
      </c>
      <c r="G91" s="4" t="inlineStr">
        <is>
          <t>Feature</t>
        </is>
      </c>
      <c r="H91" s="4" t="inlineStr">
        <is>
          <t>P2</t>
        </is>
      </c>
      <c r="I91" s="4" t="inlineStr">
        <is>
          <t>M</t>
        </is>
      </c>
      <c r="J91" s="4" t="inlineStr">
        <is>
          <t>Not started</t>
        </is>
      </c>
      <c r="K91" s="4" t="inlineStr">
        <is>
          <t>SL-089</t>
        </is>
      </c>
      <c r="L91" s="4" t="n"/>
      <c r="M91" s="12" t="n"/>
      <c r="N91" s="12" t="n"/>
      <c r="O91" s="4" t="inlineStr">
        <is>
          <t>Proposed</t>
        </is>
      </c>
      <c r="P91" s="4" t="n"/>
    </row>
    <row r="92">
      <c r="A92" s="4" t="inlineStr">
        <is>
          <t>SL-091</t>
        </is>
      </c>
      <c r="B92" s="4" t="inlineStr">
        <is>
          <t>Google Search Console</t>
        </is>
      </c>
      <c r="C92" s="4" t="inlineStr">
        <is>
          <t>Verify gradiaqo.com with a DNS TXT record at Hostinger, submit sitemap.xml, check indexing and search queries</t>
        </is>
      </c>
      <c r="D92" s="4" t="inlineStr">
        <is>
          <t>Operations</t>
        </is>
      </c>
      <c r="E92" s="4" t="inlineStr">
        <is>
          <t>M2</t>
        </is>
      </c>
      <c r="F92" s="4">
        <f>IFERROR(INDEX(Roadmap!$B$5:$B$16,MATCH(E92,Roadmap!$A$5:$A$16,0)),"")</f>
        <v/>
      </c>
      <c r="G92" s="4" t="inlineStr">
        <is>
          <t>Chore</t>
        </is>
      </c>
      <c r="H92" s="4" t="inlineStr">
        <is>
          <t>P2</t>
        </is>
      </c>
      <c r="I92" s="4" t="inlineStr">
        <is>
          <t>XS</t>
        </is>
      </c>
      <c r="J92" s="4" t="inlineStr">
        <is>
          <t>Not started</t>
        </is>
      </c>
      <c r="K92" s="4" t="inlineStr">
        <is>
          <t>SL-089</t>
        </is>
      </c>
      <c r="L92" s="4" t="n"/>
      <c r="M92" s="12" t="n"/>
      <c r="N92" s="12" t="n"/>
      <c r="O92" s="4" t="inlineStr">
        <is>
          <t>Proposed</t>
        </is>
      </c>
      <c r="P92" s="4" t="n"/>
    </row>
    <row r="93">
      <c r="A93" s="4" t="inlineStr">
        <is>
          <t>SL-092</t>
        </is>
      </c>
      <c r="B93" s="4" t="inlineStr">
        <is>
          <t>Public learning-path pages</t>
        </is>
      </c>
      <c r="C93" s="4" t="inlineStr">
        <is>
          <t>Read-only public pages for selected official paths (e.g. DSA, system design) with "Sign up to start": the pages people would find through search. Today the catalog is behind login</t>
        </is>
      </c>
      <c r="D93" s="4" t="inlineStr">
        <is>
          <t>Frontend</t>
        </is>
      </c>
      <c r="E93" s="4" t="inlineStr">
        <is>
          <t>M5</t>
        </is>
      </c>
      <c r="F93" s="4">
        <f>IFERROR(INDEX(Roadmap!$B$5:$B$16,MATCH(E93,Roadmap!$A$5:$A$16,0)),"")</f>
        <v/>
      </c>
      <c r="G93" s="4" t="inlineStr">
        <is>
          <t>Feature</t>
        </is>
      </c>
      <c r="H93" s="4" t="inlineStr">
        <is>
          <t>P3</t>
        </is>
      </c>
      <c r="I93" s="4" t="inlineStr">
        <is>
          <t>XL</t>
        </is>
      </c>
      <c r="J93" s="4" t="inlineStr">
        <is>
          <t>Not started</t>
        </is>
      </c>
      <c r="K93" s="4" t="inlineStr">
        <is>
          <t>SL-089</t>
        </is>
      </c>
      <c r="L93" s="4" t="n"/>
      <c r="M93" s="12" t="n"/>
      <c r="N93" s="12" t="n"/>
      <c r="O93" s="4" t="inlineStr">
        <is>
          <t>Proposed</t>
        </is>
      </c>
      <c r="P93" s="4" t="inlineStr">
        <is>
          <t>A product decision first: which paths, and how much of each to show logged out.</t>
        </is>
      </c>
    </row>
    <row r="94">
      <c r="A94" s="4" t="inlineStr">
        <is>
          <t>SL-093</t>
        </is>
      </c>
      <c r="B94" s="4" t="inlineStr">
        <is>
          <t>Dark theme design in Figma</t>
        </is>
      </c>
      <c r="C94" s="4" t="inlineStr">
        <is>
          <t>Dark mode for the Figma variables and a pass over the screens (charts, badges, dialogs), so the dark values are designed rather than guessed</t>
        </is>
      </c>
      <c r="D94" s="4" t="inlineStr">
        <is>
          <t>Design</t>
        </is>
      </c>
      <c r="E94" s="4" t="inlineStr">
        <is>
          <t>M8</t>
        </is>
      </c>
      <c r="F94" s="4">
        <f>IFERROR(INDEX(Roadmap!$B$5:$B$16,MATCH(E94,Roadmap!$A$5:$A$16,0)),"")</f>
        <v/>
      </c>
      <c r="G94" s="4" t="inlineStr">
        <is>
          <t>Chore</t>
        </is>
      </c>
      <c r="H94" s="4" t="inlineStr">
        <is>
          <t>P3</t>
        </is>
      </c>
      <c r="I94" s="4" t="inlineStr">
        <is>
          <t>M</t>
        </is>
      </c>
      <c r="J94" s="4" t="inlineStr">
        <is>
          <t>Done</t>
        </is>
      </c>
      <c r="K94" s="4" t="inlineStr">
        <is>
          <t>SL-056</t>
        </is>
      </c>
      <c r="L94" s="4" t="n"/>
      <c r="M94" s="12" t="n"/>
      <c r="N94" s="12" t="n">
        <v>46321</v>
      </c>
      <c r="O94" s="4" t="inlineStr">
        <is>
          <t>Proposed</t>
        </is>
      </c>
      <c r="P94" s="4" t="inlineStr">
        <is>
          <t>Figma Starter plan allows one mode per collection, so dark is a separate "Color – Dark" collection (same names and CSS names; edit both together), plus Shadow/Dark/* styles and color/bg/scrim. 11 dark screens in Screens – Web › Dark · key screens.</t>
        </is>
      </c>
    </row>
    <row r="95">
      <c r="A95" s="4" t="inlineStr">
        <is>
          <t>SL-094</t>
        </is>
      </c>
      <c r="B95" s="4" t="inlineStr">
        <is>
          <t>Dark theme in the web app</t>
        </is>
      </c>
      <c r="C95" s="4" t="inlineStr">
        <is>
          <t>Follow the system setting by default, with Light / Dark / System in Settings (remembered); set before the first paint so pages don't flash; check every page, chart and dialog in both themes; UI tests for the switch</t>
        </is>
      </c>
      <c r="D95" s="4" t="inlineStr">
        <is>
          <t>Frontend</t>
        </is>
      </c>
      <c r="E95" s="4" t="inlineStr">
        <is>
          <t>M8</t>
        </is>
      </c>
      <c r="F95" s="4">
        <f>IFERROR(INDEX(Roadmap!$B$5:$B$16,MATCH(E95,Roadmap!$A$5:$A$16,0)),"")</f>
        <v/>
      </c>
      <c r="G95" s="4" t="inlineStr">
        <is>
          <t>Feature</t>
        </is>
      </c>
      <c r="H95" s="4" t="inlineStr">
        <is>
          <t>P2</t>
        </is>
      </c>
      <c r="I95" s="4" t="inlineStr">
        <is>
          <t>M</t>
        </is>
      </c>
      <c r="J95" s="4" t="inlineStr">
        <is>
          <t>Done</t>
        </is>
      </c>
      <c r="K95" s="4" t="inlineStr">
        <is>
          <t>SL-093</t>
        </is>
      </c>
      <c r="L95" s="4" t="n"/>
      <c r="M95" s="12" t="n"/>
      <c r="N95" s="12" t="n">
        <v>46321</v>
      </c>
      <c r="O95" s="4" t="inlineStr">
        <is>
          <t>Proposed</t>
        </is>
      </c>
      <c r="P95" s="4" t="inlineStr">
        <is>
          <t>Settings › Appearance (Light / Dark / System), remembered per browser; src/theme/theme.ts and a pre-paint script in index.html. Dark fixes: accent hover violet/600 (AA), --color-scrim, accent-tint CTA band. Deployed to gradiaqo.com 2026-10-26.</t>
        </is>
      </c>
    </row>
    <row r="96">
      <c r="A96" s="4" t="inlineStr">
        <is>
          <t>SL-095</t>
        </is>
      </c>
      <c r="B96" s="4" t="inlineStr">
        <is>
          <t>Publish the first official paths</t>
        </is>
      </c>
      <c r="C96" s="4" t="inlineStr">
        <is>
          <t>3–5 interview-prep paths in the admin catalog editor, well ordered with good free resources: DSA (arrays to DP), system design basics, SQL, JavaScript/React or CS fundamentals (OS, DBMS, networks). Quality over quantity</t>
        </is>
      </c>
      <c r="D96" s="4" t="inlineStr">
        <is>
          <t>Content</t>
        </is>
      </c>
      <c r="E96" s="4" t="inlineStr">
        <is>
          <t>M11</t>
        </is>
      </c>
      <c r="F96" s="4">
        <f>IFERROR(INDEX(Roadmap!$B$5:$B$16,MATCH(E96,Roadmap!$A$5:$A$16,0)),"")</f>
        <v/>
      </c>
      <c r="G96" s="4" t="inlineStr">
        <is>
          <t>Feature</t>
        </is>
      </c>
      <c r="H96" s="4" t="inlineStr">
        <is>
          <t>P1</t>
        </is>
      </c>
      <c r="I96" s="4" t="inlineStr">
        <is>
          <t>L</t>
        </is>
      </c>
      <c r="J96" s="4" t="inlineStr">
        <is>
          <t>Not started</t>
        </is>
      </c>
      <c r="K96" s="4" t="n"/>
      <c r="L96" s="4" t="n"/>
      <c r="M96" s="12" t="n"/>
      <c r="N96" s="12" t="n"/>
      <c r="O96" s="4" t="inlineStr">
        <is>
          <t>Proposed</t>
        </is>
      </c>
      <c r="P96" s="4" t="inlineStr">
        <is>
          <t>On 2026-10-24 production had 0 learning paths: a new user finds nothing to study. Do this before any outreach.</t>
        </is>
      </c>
    </row>
    <row r="97">
      <c r="A97" s="4" t="inlineStr">
        <is>
          <t>SL-096</t>
        </is>
      </c>
      <c r="B97" s="4" t="inlineStr">
        <is>
          <t>Feedback link and early-user group</t>
        </is>
      </c>
      <c r="C97" s="4" t="inlineStr">
        <is>
          <t>A "Feedback" link in the app (to a form) and a WhatsApp or Telegram group for early users</t>
        </is>
      </c>
      <c r="D97" s="4" t="inlineStr">
        <is>
          <t>Frontend</t>
        </is>
      </c>
      <c r="E97" s="4" t="inlineStr">
        <is>
          <t>M11</t>
        </is>
      </c>
      <c r="F97" s="4">
        <f>IFERROR(INDEX(Roadmap!$B$5:$B$16,MATCH(E97,Roadmap!$A$5:$A$16,0)),"")</f>
        <v/>
      </c>
      <c r="G97" s="4" t="inlineStr">
        <is>
          <t>Feature</t>
        </is>
      </c>
      <c r="H97" s="4" t="inlineStr">
        <is>
          <t>P1</t>
        </is>
      </c>
      <c r="I97" s="4" t="inlineStr">
        <is>
          <t>XS</t>
        </is>
      </c>
      <c r="J97" s="4" t="inlineStr">
        <is>
          <t>Not started</t>
        </is>
      </c>
      <c r="K97" s="4" t="n"/>
      <c r="L97" s="4" t="n"/>
      <c r="M97" s="12" t="n"/>
      <c r="N97" s="12" t="n"/>
      <c r="O97" s="4" t="inlineStr">
        <is>
          <t>Proposed</t>
        </is>
      </c>
      <c r="P97" s="4" t="n"/>
    </row>
    <row r="98">
      <c r="A98" s="4" t="inlineStr">
        <is>
          <t>SL-097</t>
        </is>
      </c>
      <c r="B98" s="4" t="inlineStr">
        <is>
          <t>First 10–30 users, one by one</t>
        </is>
      </c>
      <c r="C98" s="4" t="inlineStr">
        <is>
          <t>Personal messages to friends, juniors and ex-colleagues preparing for interviews ("try the DSA path for a week and tell me what's annoying"); watch 3–5 of them sign up and enrol over a call</t>
        </is>
      </c>
      <c r="D98" s="4" t="inlineStr">
        <is>
          <t>Marketing</t>
        </is>
      </c>
      <c r="E98" s="4" t="inlineStr">
        <is>
          <t>M11</t>
        </is>
      </c>
      <c r="F98" s="4">
        <f>IFERROR(INDEX(Roadmap!$B$5:$B$16,MATCH(E98,Roadmap!$A$5:$A$16,0)),"")</f>
        <v/>
      </c>
      <c r="G98" s="4" t="inlineStr">
        <is>
          <t>Chore</t>
        </is>
      </c>
      <c r="H98" s="4" t="inlineStr">
        <is>
          <t>P1</t>
        </is>
      </c>
      <c r="I98" s="4" t="inlineStr">
        <is>
          <t>M</t>
        </is>
      </c>
      <c r="J98" s="4" t="inlineStr">
        <is>
          <t>Not started</t>
        </is>
      </c>
      <c r="K98" s="4" t="inlineStr">
        <is>
          <t>SL-095</t>
        </is>
      </c>
      <c r="L98" s="4" t="n"/>
      <c r="M98" s="12" t="n"/>
      <c r="N98" s="12" t="n"/>
      <c r="O98" s="4" t="inlineStr">
        <is>
          <t>Proposed</t>
        </is>
      </c>
      <c r="P98" s="4" t="inlineStr">
        <is>
          <t>Before: SL-082 rebrand, SL-089 link previews, SL-077 SPF.</t>
        </is>
      </c>
    </row>
    <row r="99">
      <c r="A99" s="4" t="inlineStr">
        <is>
          <t>SL-098</t>
        </is>
      </c>
      <c r="B99" s="4" t="inlineStr">
        <is>
          <t>Sign-up source tracking</t>
        </is>
      </c>
      <c r="C99" s="4" t="inlineStr">
        <is>
          <t>Keep ?ref= (linkedin, reddit, a college group…) through signup and store it on the account; shown in the admin overview</t>
        </is>
      </c>
      <c r="D99" s="4" t="inlineStr">
        <is>
          <t>Backend</t>
        </is>
      </c>
      <c r="E99" s="4" t="inlineStr">
        <is>
          <t>M11</t>
        </is>
      </c>
      <c r="F99" s="4">
        <f>IFERROR(INDEX(Roadmap!$B$5:$B$16,MATCH(E99,Roadmap!$A$5:$A$16,0)),"")</f>
        <v/>
      </c>
      <c r="G99" s="4" t="inlineStr">
        <is>
          <t>Feature</t>
        </is>
      </c>
      <c r="H99" s="4" t="inlineStr">
        <is>
          <t>P2</t>
        </is>
      </c>
      <c r="I99" s="4" t="inlineStr">
        <is>
          <t>S</t>
        </is>
      </c>
      <c r="J99" s="4" t="inlineStr">
        <is>
          <t>Not started</t>
        </is>
      </c>
      <c r="K99" s="4" t="inlineStr">
        <is>
          <t>SL-086</t>
        </is>
      </c>
      <c r="L99" s="4" t="n"/>
      <c r="M99" s="12" t="n"/>
      <c r="N99" s="12" t="n"/>
      <c r="O99" s="4" t="inlineStr">
        <is>
          <t>Proposed</t>
        </is>
      </c>
      <c r="P99" s="4" t="n"/>
    </row>
    <row r="100">
      <c r="A100" s="4" t="inlineStr">
        <is>
          <t>SL-099</t>
        </is>
      </c>
      <c r="B100" s="4" t="inlineStr">
        <is>
          <t>Weekly growth numbers</t>
        </is>
      </c>
      <c r="C100" s="4" t="inlineStr">
        <is>
          <t>Every week: sign-ups, activation (verified and enrolled in a path) and week-2 retention (studied again in the second week); fix retention before pushing more traffic</t>
        </is>
      </c>
      <c r="D100" s="4" t="inlineStr">
        <is>
          <t>Operations</t>
        </is>
      </c>
      <c r="E100" s="4" t="inlineStr">
        <is>
          <t>M11</t>
        </is>
      </c>
      <c r="F100" s="4">
        <f>IFERROR(INDEX(Roadmap!$B$5:$B$16,MATCH(E100,Roadmap!$A$5:$A$16,0)),"")</f>
        <v/>
      </c>
      <c r="G100" s="4" t="inlineStr">
        <is>
          <t>Chore</t>
        </is>
      </c>
      <c r="H100" s="4" t="inlineStr">
        <is>
          <t>P2</t>
        </is>
      </c>
      <c r="I100" s="4" t="inlineStr">
        <is>
          <t>S</t>
        </is>
      </c>
      <c r="J100" s="4" t="inlineStr">
        <is>
          <t>Not started</t>
        </is>
      </c>
      <c r="K100" s="4" t="inlineStr">
        <is>
          <t>SL-086</t>
        </is>
      </c>
      <c r="L100" s="4" t="n"/>
      <c r="M100" s="12" t="n"/>
      <c r="N100" s="12" t="n"/>
      <c r="O100" s="4" t="inlineStr">
        <is>
          <t>Proposed</t>
        </is>
      </c>
      <c r="P100" s="4" t="n"/>
    </row>
    <row r="101">
      <c r="A101" s="4" t="inlineStr">
        <is>
          <t>SL-100</t>
        </is>
      </c>
      <c r="B101" s="4" t="inlineStr">
        <is>
          <t>Build in public on LinkedIn</t>
        </is>
      </c>
      <c r="C101" s="4" t="inlineStr">
        <is>
          <t>A weekly post about building Gradiaqo: features, the stack, the $12/month Civo setup, lessons learned</t>
        </is>
      </c>
      <c r="D101" s="4" t="inlineStr">
        <is>
          <t>Marketing</t>
        </is>
      </c>
      <c r="E101" s="4" t="inlineStr">
        <is>
          <t>M11</t>
        </is>
      </c>
      <c r="F101" s="4">
        <f>IFERROR(INDEX(Roadmap!$B$5:$B$16,MATCH(E101,Roadmap!$A$5:$A$16,0)),"")</f>
        <v/>
      </c>
      <c r="G101" s="4" t="inlineStr">
        <is>
          <t>Chore</t>
        </is>
      </c>
      <c r="H101" s="4" t="inlineStr">
        <is>
          <t>P2</t>
        </is>
      </c>
      <c r="I101" s="4" t="inlineStr">
        <is>
          <t>S</t>
        </is>
      </c>
      <c r="J101" s="4" t="inlineStr">
        <is>
          <t>Not started</t>
        </is>
      </c>
      <c r="K101" s="4" t="n"/>
      <c r="L101" s="4" t="n"/>
      <c r="M101" s="12" t="n"/>
      <c r="N101" s="12" t="n"/>
      <c r="O101" s="4" t="inlineStr">
        <is>
          <t>Proposed</t>
        </is>
      </c>
      <c r="P101" s="4" t="inlineStr">
        <is>
          <t>Ongoing.</t>
        </is>
      </c>
    </row>
    <row r="102">
      <c r="A102" s="4" t="inlineStr">
        <is>
          <t>SL-101</t>
        </is>
      </c>
      <c r="B102" s="4" t="inlineStr">
        <is>
          <t>Posts in developer communities</t>
        </is>
      </c>
      <c r="C102" s="4" t="inlineStr">
        <is>
          <t>Useful posts first (e.g. "the DSA order I'd follow for 8 weeks") with the app at the end: r/developersIndia, r/leetcode, college placement-prep WhatsApp/Telegram/Discord groups. Check each community's self-promotion rules</t>
        </is>
      </c>
      <c r="D102" s="4" t="inlineStr">
        <is>
          <t>Marketing</t>
        </is>
      </c>
      <c r="E102" s="4" t="inlineStr">
        <is>
          <t>M11</t>
        </is>
      </c>
      <c r="F102" s="4">
        <f>IFERROR(INDEX(Roadmap!$B$5:$B$16,MATCH(E102,Roadmap!$A$5:$A$16,0)),"")</f>
        <v/>
      </c>
      <c r="G102" s="4" t="inlineStr">
        <is>
          <t>Chore</t>
        </is>
      </c>
      <c r="H102" s="4" t="inlineStr">
        <is>
          <t>P2</t>
        </is>
      </c>
      <c r="I102" s="4" t="inlineStr">
        <is>
          <t>M</t>
        </is>
      </c>
      <c r="J102" s="4" t="inlineStr">
        <is>
          <t>Not started</t>
        </is>
      </c>
      <c r="K102" s="4" t="inlineStr">
        <is>
          <t>SL-095</t>
        </is>
      </c>
      <c r="L102" s="4" t="n"/>
      <c r="M102" s="12" t="n"/>
      <c r="N102" s="12" t="n"/>
      <c r="O102" s="4" t="inlineStr">
        <is>
          <t>Proposed</t>
        </is>
      </c>
      <c r="P102" s="4" t="n"/>
    </row>
    <row r="103">
      <c r="A103" s="4" t="inlineStr">
        <is>
          <t>SL-102</t>
        </is>
      </c>
      <c r="B103" s="4" t="inlineStr">
        <is>
          <t>Study groups and coding clubs</t>
        </is>
      </c>
      <c r="C103" s="4" t="inlineStr">
        <is>
          <t>Offer clubs and study groups an organization: shared paths and each other's progress. One club admin can bring 30 users</t>
        </is>
      </c>
      <c r="D103" s="4" t="inlineStr">
        <is>
          <t>Marketing</t>
        </is>
      </c>
      <c r="E103" s="4" t="inlineStr">
        <is>
          <t>M11</t>
        </is>
      </c>
      <c r="F103" s="4">
        <f>IFERROR(INDEX(Roadmap!$B$5:$B$16,MATCH(E103,Roadmap!$A$5:$A$16,0)),"")</f>
        <v/>
      </c>
      <c r="G103" s="4" t="inlineStr">
        <is>
          <t>Chore</t>
        </is>
      </c>
      <c r="H103" s="4" t="inlineStr">
        <is>
          <t>P2</t>
        </is>
      </c>
      <c r="I103" s="4" t="inlineStr">
        <is>
          <t>M</t>
        </is>
      </c>
      <c r="J103" s="4" t="inlineStr">
        <is>
          <t>Not started</t>
        </is>
      </c>
      <c r="K103" s="4" t="inlineStr">
        <is>
          <t>SL-095</t>
        </is>
      </c>
      <c r="L103" s="4" t="n"/>
      <c r="M103" s="12" t="n"/>
      <c r="N103" s="12" t="n"/>
      <c r="O103" s="4" t="inlineStr">
        <is>
          <t>Proposed</t>
        </is>
      </c>
      <c r="P103" s="4" t="n"/>
    </row>
    <row r="104">
      <c r="A104" s="4" t="inlineStr">
        <is>
          <t>SL-103</t>
        </is>
      </c>
      <c r="B104" s="4" t="inlineStr">
        <is>
          <t>Product Hunt and Peerlist launch</t>
        </is>
      </c>
      <c r="C104" s="4" t="inlineStr">
        <is>
          <t>Launch once there are about 50 active users and a few testimonials</t>
        </is>
      </c>
      <c r="D104" s="4" t="inlineStr">
        <is>
          <t>Marketing</t>
        </is>
      </c>
      <c r="E104" s="4" t="inlineStr">
        <is>
          <t>M11</t>
        </is>
      </c>
      <c r="F104" s="4">
        <f>IFERROR(INDEX(Roadmap!$B$5:$B$16,MATCH(E104,Roadmap!$A$5:$A$16,0)),"")</f>
        <v/>
      </c>
      <c r="G104" s="4" t="inlineStr">
        <is>
          <t>Chore</t>
        </is>
      </c>
      <c r="H104" s="4" t="inlineStr">
        <is>
          <t>P3</t>
        </is>
      </c>
      <c r="I104" s="4" t="inlineStr">
        <is>
          <t>M</t>
        </is>
      </c>
      <c r="J104" s="4" t="inlineStr">
        <is>
          <t>Not started</t>
        </is>
      </c>
      <c r="K104" s="4" t="inlineStr">
        <is>
          <t>SL-097</t>
        </is>
      </c>
      <c r="L104" s="4" t="n"/>
      <c r="M104" s="12" t="n"/>
      <c r="N104" s="12" t="n"/>
      <c r="O104" s="4" t="inlineStr">
        <is>
          <t>Proposed</t>
        </is>
      </c>
      <c r="P104" s="4" t="n"/>
    </row>
    <row r="105">
      <c r="A105" s="4" t="inlineStr">
        <is>
          <t>SL-104</t>
        </is>
      </c>
      <c r="B105" s="4" t="inlineStr">
        <is>
          <t>Invite a study buddy</t>
        </is>
      </c>
      <c r="C105" s="4" t="inlineStr">
        <is>
          <t>Referral: invite a friend to study the same path together; once week-2 retention is good</t>
        </is>
      </c>
      <c r="D105" s="4" t="inlineStr">
        <is>
          <t>Frontend</t>
        </is>
      </c>
      <c r="E105" s="4" t="inlineStr">
        <is>
          <t>M11</t>
        </is>
      </c>
      <c r="F105" s="4">
        <f>IFERROR(INDEX(Roadmap!$B$5:$B$16,MATCH(E105,Roadmap!$A$5:$A$16,0)),"")</f>
        <v/>
      </c>
      <c r="G105" s="4" t="inlineStr">
        <is>
          <t>Feature</t>
        </is>
      </c>
      <c r="H105" s="4" t="inlineStr">
        <is>
          <t>P3</t>
        </is>
      </c>
      <c r="I105" s="4" t="inlineStr">
        <is>
          <t>M</t>
        </is>
      </c>
      <c r="J105" s="4" t="inlineStr">
        <is>
          <t>Not started</t>
        </is>
      </c>
      <c r="K105" s="4" t="inlineStr">
        <is>
          <t>SL-099</t>
        </is>
      </c>
      <c r="L105" s="4" t="n"/>
      <c r="M105" s="12" t="n"/>
      <c r="N105" s="12" t="n"/>
      <c r="O105" s="4" t="inlineStr">
        <is>
          <t>Proposed</t>
        </is>
      </c>
      <c r="P105" s="4" t="n"/>
    </row>
    <row r="106">
      <c r="A106" s="4" t="inlineStr">
        <is>
          <t>SL-105</t>
        </is>
      </c>
      <c r="B106" s="4" t="inlineStr">
        <is>
          <t>AI Engineer learning path</t>
        </is>
      </c>
      <c r="C106" s="4" t="inlineStr">
        <is>
          <t>An official path for building products on LLMs: how models work, model APIs, prompting, embeddings, RAG, tools and agents (MCP), evals, open models and fine-tuning, production and security, and a capstone. Free resources plus a project in most modules</t>
        </is>
      </c>
      <c r="D106" s="4" t="inlineStr">
        <is>
          <t>Content</t>
        </is>
      </c>
      <c r="E106" s="4" t="inlineStr">
        <is>
          <t>M11</t>
        </is>
      </c>
      <c r="F106" s="4">
        <f>IFERROR(INDEX(Roadmap!$B$5:$B$16,MATCH(E106,Roadmap!$A$5:$A$16,0)),"")</f>
        <v/>
      </c>
      <c r="G106" s="4" t="inlineStr">
        <is>
          <t>Feature</t>
        </is>
      </c>
      <c r="H106" s="4" t="inlineStr">
        <is>
          <t>P2</t>
        </is>
      </c>
      <c r="I106" s="4" t="inlineStr">
        <is>
          <t>M</t>
        </is>
      </c>
      <c r="J106" s="4" t="inlineStr">
        <is>
          <t>In progress</t>
        </is>
      </c>
      <c r="K106" s="4" t="inlineStr">
        <is>
          <t>SL-095</t>
        </is>
      </c>
      <c r="L106" s="4" t="n"/>
      <c r="M106" s="12" t="n"/>
      <c r="N106" s="12" t="n"/>
      <c r="O106" s="4" t="inlineStr">
        <is>
          <t>Proposed</t>
        </is>
      </c>
      <c r="P106" s="4" t="inlineStr">
        <is>
          <t>content/paths/ai-engineer.yaml: 10 modules, 23 topics, 65 items (15 optional, 12 exercises), about 2–3 months at an hour a day. Passes the importer's parser; all non-YouTube links returned 200 on 2026-10-28, the 5 YouTube links still to check by hand. Next: import on production, check in Admin › Catalog, publish.</t>
        </is>
      </c>
    </row>
    <row r="107">
      <c r="A107" s="4" t="inlineStr">
        <is>
          <t>SL-106</t>
        </is>
      </c>
      <c r="B107" s="4" t="inlineStr">
        <is>
          <t>System Design learning path</t>
        </is>
      </c>
      <c r="C107" s="4" t="inlineStr">
        <is>
          <t>An official path for system design interviews: the 45-minute framework and estimation, networking and APIs, databases (indexes, replication, sharding), caching and CDNs, queues and streams, distributed-systems trade-offs, reliability, 12 classic designs with answer notes, and mock interviews</t>
        </is>
      </c>
      <c r="D107" s="4" t="inlineStr">
        <is>
          <t>Content</t>
        </is>
      </c>
      <c r="E107" s="4" t="inlineStr">
        <is>
          <t>M11</t>
        </is>
      </c>
      <c r="F107" s="4">
        <f>IFERROR(INDEX(Roadmap!$B$5:$B$16,MATCH(E107,Roadmap!$A$5:$A$16,0)),"")</f>
        <v/>
      </c>
      <c r="G107" s="4" t="inlineStr">
        <is>
          <t>Feature</t>
        </is>
      </c>
      <c r="H107" s="4" t="inlineStr">
        <is>
          <t>P2</t>
        </is>
      </c>
      <c r="I107" s="4" t="inlineStr">
        <is>
          <t>M</t>
        </is>
      </c>
      <c r="J107" s="4" t="inlineStr">
        <is>
          <t>In progress</t>
        </is>
      </c>
      <c r="K107" s="4" t="inlineStr">
        <is>
          <t>SL-095</t>
        </is>
      </c>
      <c r="L107" s="4" t="n"/>
      <c r="M107" s="12" t="n"/>
      <c r="N107" s="12" t="n"/>
      <c r="O107" s="4" t="inlineStr">
        <is>
          <t>Proposed</t>
        </is>
      </c>
      <c r="P107" s="4" t="inlineStr">
        <is>
          <t>content/paths/system-design.yaml: 9 modules, 23 topics, 59 items (9 optional, 16 exercises), about 2 months at an hour a day. Passes the importer's parser; links returned 200 on 2026-10-28 except 3 Cloudflare Learning pages (bot check) and the Instagram sharding post (timed out), still to check by hand. Next: import on production, check in Admin › Catalog, publish.</t>
        </is>
      </c>
    </row>
  </sheetData>
  <conditionalFormatting sqref="A2:P500">
    <cfRule type="expression" priority="1" dxfId="0">
      <formula>$J2="Done"</formula>
    </cfRule>
    <cfRule type="expression" priority="2" dxfId="1">
      <formula>$J2="In progress"</formula>
    </cfRule>
    <cfRule type="expression" priority="3" dxfId="2">
      <formula>$J2="Blocked"</formula>
    </cfRule>
    <cfRule type="expression" priority="4" dxfId="3">
      <formula>$J2="Won't do"</formula>
    </cfRule>
  </conditionalFormatting>
  <dataValidations count="6">
    <dataValidation sqref="J2:J500" showDropDown="0" showInputMessage="0" showErrorMessage="0" allowBlank="1" type="list">
      <formula1>=Lists!$A$2:$A$6</formula1>
    </dataValidation>
    <dataValidation sqref="H2:H500" showDropDown="0" showInputMessage="0" showErrorMessage="0" allowBlank="1" type="list">
      <formula1>=Lists!$B$2:$B$4</formula1>
    </dataValidation>
    <dataValidation sqref="I2:I500" showDropDown="0" showInputMessage="0" showErrorMessage="0" allowBlank="1" type="list">
      <formula1>=Lists!$C$2:$C$6</formula1>
    </dataValidation>
    <dataValidation sqref="G2:G500" showDropDown="0" showInputMessage="0" showErrorMessage="0" allowBlank="1" type="list">
      <formula1>=Lists!$D$2:$D$4</formula1>
    </dataValidation>
    <dataValidation sqref="D2:D500" showDropDown="0" showInputMessage="0" showErrorMessage="0" allowBlank="1" type="list">
      <formula1>=Lists!$E$2:$E$12</formula1>
    </dataValidation>
    <dataValidation sqref="E2:E500" showDropDown="0" showInputMessage="0" showErrorMessage="0" allowBlank="1" type="list">
      <formula1>=Roadmap!$A$5:$A$16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How to use this tracker</t>
        </is>
      </c>
    </row>
    <row r="2">
      <c r="A2" s="13" t="inlineStr"/>
    </row>
    <row r="3">
      <c r="A3" s="13" t="inlineStr">
        <is>
          <t>Roadmap</t>
        </is>
      </c>
      <c r="B3" s="14" t="inlineStr">
        <is>
          <t>Milestones in order. Item counts, % done and status are formulas over the Backlog sheet; fill in only Timeframe and Target (yellow).</t>
        </is>
      </c>
    </row>
    <row r="4">
      <c r="A4" s="13" t="inlineStr">
        <is>
          <t>Backlog</t>
        </is>
      </c>
      <c r="B4" s="14" t="inlineStr">
        <is>
          <t>One row per piece of work. Change Status as you go, and add the Done date when you finish.</t>
        </is>
      </c>
    </row>
    <row r="5">
      <c r="A5" s="13" t="inlineStr">
        <is>
          <t>Adding an item</t>
        </is>
      </c>
      <c r="B5" s="14" t="inlineStr">
        <is>
          <t>Type in the first empty row under the table: it grows automatically. Use the next ID (SL-0xx) and pick a Milestone (M0–M11).</t>
        </is>
      </c>
    </row>
    <row r="6">
      <c r="A6" s="13" t="inlineStr">
        <is>
          <t>Edit freely</t>
        </is>
      </c>
      <c r="B6" s="14" t="inlineStr">
        <is>
          <t>Status, Priority, Size, Owner, Target date, Done date, Notes, Depends on.</t>
        </is>
      </c>
    </row>
    <row r="7">
      <c r="A7" s="13" t="inlineStr">
        <is>
          <t>Formula column</t>
        </is>
      </c>
      <c r="B7" s="14" t="inlineStr">
        <is>
          <t>Milestone name is looked up from the Roadmap sheet; don't type in it.</t>
        </is>
      </c>
    </row>
    <row r="8">
      <c r="A8" s="13" t="inlineStr"/>
    </row>
    <row r="9">
      <c r="A9" s="13" t="inlineStr">
        <is>
          <t>Status</t>
        </is>
      </c>
      <c r="B9" s="14" t="inlineStr">
        <is>
          <t>Not started · In progress · Blocked · Done · Won't do (Won't do is left out of the counts)</t>
        </is>
      </c>
    </row>
    <row r="10">
      <c r="A10" s="13" t="inlineStr">
        <is>
          <t>Priority</t>
        </is>
      </c>
      <c r="B10" s="14" t="inlineStr">
        <is>
          <t>P1 = needed for the current milestone · P2 = should do · P3 = nice to have</t>
        </is>
      </c>
    </row>
    <row r="11">
      <c r="A11" s="13" t="inlineStr">
        <is>
          <t>Size</t>
        </is>
      </c>
      <c r="B11" s="14" t="inlineStr">
        <is>
          <t>XS &lt; half a day · S ≈ 1 day · M ≈ 2–3 days · L ≈ a week · XL = more than a week (rough guesses)</t>
        </is>
      </c>
    </row>
    <row r="12">
      <c r="A12" s="13" t="inlineStr">
        <is>
          <t>Source</t>
        </is>
      </c>
      <c r="B12" s="14" t="inlineStr">
        <is>
          <t>README roadmap = from the Roadmap section of README.md. Proposed = suggested from what the API already supports but the web app doesn't show yet.</t>
        </is>
      </c>
    </row>
    <row r="13">
      <c r="A13" s="13" t="inlineStr">
        <is>
          <t>Done dates</t>
        </is>
      </c>
      <c r="B13" s="14" t="inlineStr">
        <is>
          <t>For M0, taken from the git history.</t>
        </is>
      </c>
    </row>
    <row r="14">
      <c r="A14" s="13" t="inlineStr">
        <is>
          <t>Figma design</t>
        </is>
      </c>
      <c r="B14" s="14" t="inlineStr">
        <is>
          <t>Source "Figma design" = from the design work. Screens: https://www.figma.com/design/OtHkuUtj5AK1MYZYgMEJRH (StudyLog – App Design).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Status</t>
        </is>
      </c>
      <c r="B1" s="15" t="inlineStr">
        <is>
          <t>Priority</t>
        </is>
      </c>
      <c r="C1" s="15" t="inlineStr">
        <is>
          <t>Size</t>
        </is>
      </c>
      <c r="D1" s="15" t="inlineStr">
        <is>
          <t>Type</t>
        </is>
      </c>
      <c r="E1" s="15" t="inlineStr">
        <is>
          <t>Area</t>
        </is>
      </c>
    </row>
    <row r="2">
      <c r="A2" s="16" t="inlineStr">
        <is>
          <t>Not started</t>
        </is>
      </c>
      <c r="B2" s="16" t="inlineStr">
        <is>
          <t>P1</t>
        </is>
      </c>
      <c r="C2" s="16" t="inlineStr">
        <is>
          <t>XS</t>
        </is>
      </c>
      <c r="D2" s="16" t="inlineStr">
        <is>
          <t>Feature</t>
        </is>
      </c>
      <c r="E2" s="16" t="inlineStr">
        <is>
          <t>Frontend</t>
        </is>
      </c>
    </row>
    <row r="3">
      <c r="A3" s="16" t="inlineStr">
        <is>
          <t>In progress</t>
        </is>
      </c>
      <c r="B3" s="16" t="inlineStr">
        <is>
          <t>P2</t>
        </is>
      </c>
      <c r="C3" s="16" t="inlineStr">
        <is>
          <t>S</t>
        </is>
      </c>
      <c r="D3" s="16" t="inlineStr">
        <is>
          <t>Bug</t>
        </is>
      </c>
      <c r="E3" s="16" t="inlineStr">
        <is>
          <t>Backend</t>
        </is>
      </c>
    </row>
    <row r="4">
      <c r="A4" s="16" t="inlineStr">
        <is>
          <t>Blocked</t>
        </is>
      </c>
      <c r="B4" s="16" t="inlineStr">
        <is>
          <t>P3</t>
        </is>
      </c>
      <c r="C4" s="16" t="inlineStr">
        <is>
          <t>M</t>
        </is>
      </c>
      <c r="D4" s="16" t="inlineStr">
        <is>
          <t>Chore</t>
        </is>
      </c>
      <c r="E4" s="16" t="inlineStr">
        <is>
          <t>Mobile</t>
        </is>
      </c>
    </row>
    <row r="5">
      <c r="A5" s="16" t="inlineStr">
        <is>
          <t>Done</t>
        </is>
      </c>
      <c r="C5" s="16" t="inlineStr">
        <is>
          <t>L</t>
        </is>
      </c>
      <c r="E5" s="16" t="inlineStr">
        <is>
          <t>Design</t>
        </is>
      </c>
    </row>
    <row r="6">
      <c r="A6" s="16" t="inlineStr">
        <is>
          <t>Won't do</t>
        </is>
      </c>
      <c r="C6" s="16" t="inlineStr">
        <is>
          <t>XL</t>
        </is>
      </c>
      <c r="E6" s="16" t="inlineStr">
        <is>
          <t>Testing</t>
        </is>
      </c>
    </row>
    <row r="7">
      <c r="E7" s="16" t="inlineStr">
        <is>
          <t>DevOps</t>
        </is>
      </c>
    </row>
    <row r="8">
      <c r="E8" s="16" t="inlineStr">
        <is>
          <t>Operations</t>
        </is>
      </c>
    </row>
    <row r="9">
      <c r="E9" s="16" t="inlineStr">
        <is>
          <t>Tooling</t>
        </is>
      </c>
    </row>
    <row r="10">
      <c r="E10" s="16" t="inlineStr">
        <is>
          <t>Docs</t>
        </is>
      </c>
    </row>
    <row r="11">
      <c r="E11" s="16" t="inlineStr">
        <is>
          <t>Content</t>
        </is>
      </c>
    </row>
    <row r="12">
      <c r="E12" s="16" t="inlineStr">
        <is>
          <t>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2026-10-19T11:47:04Z</dcterms:created>
  <dcterms:modified xsi:type="dcterms:W3CDTF">2026-10-26T08:22:20Z</dcterms:modified>
</cp:coreProperties>
</file>