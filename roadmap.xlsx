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76" headerRowCount="1">
  <autoFilter ref="A1:P76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>11</v>
      </c>
      <c r="G5" s="4">
        <f>COUNTIFS(Backlog!$E$2:$E$500,$A5,Backlog!$J$2:$J$500,"Done")</f>
        <v>11</v>
      </c>
      <c r="H5" s="4">
        <f>COUNTIFS(Backlog!$E$2:$E$500,$A5,Backlog!$J$2:$J$500,"In progress")</f>
        <v>0</v>
      </c>
      <c r="I5" s="4">
        <f>COUNTIFS(Backlog!$E$2:$E$500,$A5,Backlog!$J$2:$J$500,"Blocked")</f>
        <v>0</v>
      </c>
      <c r="J5" s="4">
        <f>F5-G5</f>
        <v>0</v>
      </c>
      <c r="K5" s="7">
        <f>IF(F5=0,0,G5/F5)</f>
        <v>1.0</v>
      </c>
      <c r="L5" s="4" t="str">
        <f>IF(F5=0,"Empty",IF(G5=F5,"Done",IF(G5+H5+I5&gt;0,"In progress","Not started")))</f>
        <v>Done</v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>14</v>
      </c>
      <c r="G6" s="4">
        <f>COUNTIFS(Backlog!$E$2:$E$500,$A6,Backlog!$J$2:$J$500,"Done")</f>
        <v>14</v>
      </c>
      <c r="H6" s="4">
        <f>COUNTIFS(Backlog!$E$2:$E$500,$A6,Backlog!$J$2:$J$500,"In progress")</f>
        <v>0</v>
      </c>
      <c r="I6" s="4">
        <f>COUNTIFS(Backlog!$E$2:$E$500,$A6,Backlog!$J$2:$J$500,"Blocked")</f>
        <v>0</v>
      </c>
      <c r="J6" s="4">
        <f>F6-G6</f>
        <v>0</v>
      </c>
      <c r="K6" s="7">
        <f>IF(F6=0,0,G6/F6)</f>
        <v>1.0</v>
      </c>
      <c r="L6" s="4" t="str">
        <f>IF(F6=0,"Empty",IF(G6=F6,"Done",IF(G6+H6+I6&gt;0,"In progress","Not started")))</f>
        <v>Done</v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>6</v>
      </c>
      <c r="G7" s="4">
        <f>COUNTIFS(Backlog!$E$2:$E$500,$A7,Backlog!$J$2:$J$500,"Done")</f>
        <v>6</v>
      </c>
      <c r="H7" s="4">
        <f>COUNTIFS(Backlog!$E$2:$E$500,$A7,Backlog!$J$2:$J$500,"In progress")</f>
        <v>0</v>
      </c>
      <c r="I7" s="4">
        <f>COUNTIFS(Backlog!$E$2:$E$500,$A7,Backlog!$J$2:$J$500,"Blocked")</f>
        <v>0</v>
      </c>
      <c r="J7" s="4">
        <f>F7-G7</f>
        <v>0</v>
      </c>
      <c r="K7" s="7">
        <f>IF(F7=0,0,G7/F7)</f>
        <v>1.0</v>
      </c>
      <c r="L7" s="4" t="str">
        <f>IF(F7=0,"Empty",IF(G7=F7,"Done",IF(G7+H7+I7&gt;0,"In progress","Not started")))</f>
        <v>Done</v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>8</v>
      </c>
      <c r="G8" s="4">
        <f>COUNTIFS(Backlog!$E$2:$E$500,$A8,Backlog!$J$2:$J$500,"Done")</f>
        <v>8</v>
      </c>
      <c r="H8" s="4">
        <f>COUNTIFS(Backlog!$E$2:$E$500,$A8,Backlog!$J$2:$J$500,"In progress")</f>
        <v>0</v>
      </c>
      <c r="I8" s="4">
        <f>COUNTIFS(Backlog!$E$2:$E$500,$A8,Backlog!$J$2:$J$500,"Blocked")</f>
        <v>0</v>
      </c>
      <c r="J8" s="4">
        <f>F8-G8</f>
        <v>0</v>
      </c>
      <c r="K8" s="7">
        <f>IF(F8=0,0,G8/F8)</f>
        <v>1.0</v>
      </c>
      <c r="L8" s="4" t="str">
        <f>IF(F8=0,"Empty",IF(G8=F8,"Done",IF(G8+H8+I8&gt;0,"In progress","Not started")))</f>
        <v>Done</v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>10</v>
      </c>
      <c r="G9" s="4">
        <f>COUNTIFS(Backlog!$E$2:$E$500,$A9,Backlog!$J$2:$J$500,"Done")</f>
        <v>0</v>
      </c>
      <c r="H9" s="4">
        <f>COUNTIFS(Backlog!$E$2:$E$500,$A9,Backlog!$J$2:$J$500,"In progress")</f>
        <v>0</v>
      </c>
      <c r="I9" s="4">
        <f>COUNTIFS(Backlog!$E$2:$E$500,$A9,Backlog!$J$2:$J$500,"Blocked")</f>
        <v>0</v>
      </c>
      <c r="J9" s="4">
        <f>F9-G9</f>
        <v>10</v>
      </c>
      <c r="K9" s="7">
        <f>IF(F9=0,0,G9/F9)</f>
        <v>0.0</v>
      </c>
      <c r="L9" s="4" t="str">
        <f>IF(F9=0,"Empty",IF(G9=F9,"Done",IF(G9+H9+I9&gt;0,"In progress","Not started")))</f>
        <v>Not started</v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>5</v>
      </c>
      <c r="G10" s="4">
        <f>COUNTIFS(Backlog!$E$2:$E$500,$A10,Backlog!$J$2:$J$500,"Done")</f>
        <v>5</v>
      </c>
      <c r="H10" s="4">
        <f>COUNTIFS(Backlog!$E$2:$E$500,$A10,Backlog!$J$2:$J$500,"In progress")</f>
        <v>0</v>
      </c>
      <c r="I10" s="4">
        <f>COUNTIFS(Backlog!$E$2:$E$500,$A10,Backlog!$J$2:$J$500,"Blocked")</f>
        <v>0</v>
      </c>
      <c r="J10" s="4">
        <f>F10-G10</f>
        <v>0</v>
      </c>
      <c r="K10" s="7">
        <f>IF(F10=0,0,G10/F10)</f>
        <v>1.0</v>
      </c>
      <c r="L10" s="4" t="str">
        <f>IF(F10=0,"Empty",IF(G10=F10,"Done",IF(G10+H10+I10&gt;0,"In progress","Not started")))</f>
        <v>Done</v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Now</t>
        </is>
      </c>
      <c r="E11" s="6" t="n"/>
      <c r="F11" s="4">
        <f>COUNTIFS(Backlog!$E$2:$E$500,$A11,Backlog!$J$2:$J$500,"&lt;&gt;Won't do")</f>
        <v>8</v>
      </c>
      <c r="G11" s="4">
        <f>COUNTIFS(Backlog!$E$2:$E$500,$A11,Backlog!$J$2:$J$500,"Done")</f>
        <v>7</v>
      </c>
      <c r="H11" s="4">
        <f>COUNTIFS(Backlog!$E$2:$E$500,$A11,Backlog!$J$2:$J$500,"In progress")</f>
        <v>0</v>
      </c>
      <c r="I11" s="4">
        <f>COUNTIFS(Backlog!$E$2:$E$500,$A11,Backlog!$J$2:$J$500,"Blocked")</f>
        <v>0</v>
      </c>
      <c r="J11" s="4">
        <f>F11-G11</f>
        <v>1</v>
      </c>
      <c r="K11" s="7">
        <f>IF(F11=0,0,G11/F11)</f>
        <v>0.875</v>
      </c>
      <c r="L11" s="4" t="str">
        <f>IF(F11=0,"Empty",IF(G11=F11,"Done",IF(G11+H11+I11&gt;0,"In progress","Not started")))</f>
        <v>In progress</v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>4</v>
      </c>
      <c r="G12" s="4">
        <f>COUNTIFS(Backlog!$E$2:$E$500,$A12,Backlog!$J$2:$J$500,"Done")</f>
        <v>0</v>
      </c>
      <c r="H12" s="4">
        <f>COUNTIFS(Backlog!$E$2:$E$500,$A12,Backlog!$J$2:$J$500,"In progress")</f>
        <v>0</v>
      </c>
      <c r="I12" s="4">
        <f>COUNTIFS(Backlog!$E$2:$E$500,$A12,Backlog!$J$2:$J$500,"Blocked")</f>
        <v>0</v>
      </c>
      <c r="J12" s="4">
        <f>F12-G12</f>
        <v>4</v>
      </c>
      <c r="K12" s="7">
        <f>IF(F12=0,0,G12/F12)</f>
        <v>0.0</v>
      </c>
      <c r="L12" s="4" t="str">
        <f>IF(F12=0,"Empty",IF(G12=F12,"Done",IF(G12+H12+I12&gt;0,"In progress","Not started")))</f>
        <v>Not started</v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>8</v>
      </c>
      <c r="G13" s="4">
        <f>COUNTIFS(Backlog!$E$2:$E$500,$A13,Backlog!$J$2:$J$500,"Done")</f>
        <v>0</v>
      </c>
      <c r="H13" s="4">
        <f>COUNTIFS(Backlog!$E$2:$E$500,$A13,Backlog!$J$2:$J$500,"In progress")</f>
        <v>0</v>
      </c>
      <c r="I13" s="4">
        <f>COUNTIFS(Backlog!$E$2:$E$500,$A13,Backlog!$J$2:$J$500,"Blocked")</f>
        <v>0</v>
      </c>
      <c r="J13" s="4">
        <f>F13-G13</f>
        <v>8</v>
      </c>
      <c r="K13" s="7">
        <f>IF(F13=0,0,G13/F13)</f>
        <v>0.0</v>
      </c>
      <c r="L13" s="4" t="str">
        <f>IF(F13=0,"Empty",IF(G13=F13,"Done",IF(G13+H13+I13&gt;0,"In progress","Not started")))</f>
        <v>Not started</v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>1</v>
      </c>
      <c r="G14" s="4">
        <f>COUNTIFS(Backlog!$E$2:$E$500,$A14,Backlog!$J$2:$J$500,"Done")</f>
        <v>0</v>
      </c>
      <c r="H14" s="4">
        <f>COUNTIFS(Backlog!$E$2:$E$500,$A14,Backlog!$J$2:$J$500,"In progress")</f>
        <v>0</v>
      </c>
      <c r="I14" s="4">
        <f>COUNTIFS(Backlog!$E$2:$E$500,$A14,Backlog!$J$2:$J$500,"Blocked")</f>
        <v>0</v>
      </c>
      <c r="J14" s="4">
        <f>F14-G14</f>
        <v>1</v>
      </c>
      <c r="K14" s="7">
        <f>IF(F14=0,0,G14/F14)</f>
        <v>0.0</v>
      </c>
      <c r="L14" s="4" t="str">
        <f>IF(F14=0,"Empty",IF(G14=F14,"Done",IF(G14+H14+I14&gt;0,"In progress","Not started")))</f>
        <v>Not started</v>
      </c>
    </row>
    <row r="15">
      <c r="A15" s="8" t="inlineStr">
        <is>
          <t>Total</t>
        </is>
      </c>
      <c r="B15" s="9" t="n"/>
      <c r="C15" s="9" t="n"/>
      <c r="D15" s="9" t="n"/>
      <c r="E15" s="9" t="n"/>
      <c r="F15" s="8">
        <f>SUM(F5:F14)</f>
        <v>75</v>
      </c>
      <c r="G15" s="8">
        <f>SUM(G5:G14)</f>
        <v>51</v>
      </c>
      <c r="H15" s="8">
        <f>SUM(H5:H14)</f>
        <v>0</v>
      </c>
      <c r="I15" s="8">
        <f>SUM(I5:I14)</f>
        <v>0</v>
      </c>
      <c r="J15" s="8">
        <f>SUM(J5:J14)</f>
        <v>24</v>
      </c>
      <c r="K15" s="10">
        <f>IF(F15=0,0,G15/F15)</f>
        <v>0.68</v>
      </c>
      <c r="L15" s="9" t="n"/>
    </row>
  </sheetData>
  <conditionalFormatting sqref="L5:L14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 t="str">
        <f>IFERROR(INDEX(Roadmap!$B$5:$B$14,MATCH(E2,Roadmap!$A$5:$A$14,0)),"")</f>
        <v>Foundations</v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 t="str">
        <f>IFERROR(INDEX(Roadmap!$B$5:$B$14,MATCH(E3,Roadmap!$A$5:$A$14,0)),"")</f>
        <v>Foundations</v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 t="str">
        <f>IFERROR(INDEX(Roadmap!$B$5:$B$14,MATCH(E4,Roadmap!$A$5:$A$14,0)),"")</f>
        <v>Foundations</v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 t="str">
        <f>IFERROR(INDEX(Roadmap!$B$5:$B$14,MATCH(E5,Roadmap!$A$5:$A$14,0)),"")</f>
        <v>Foundations</v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 t="str">
        <f>IFERROR(INDEX(Roadmap!$B$5:$B$14,MATCH(E6,Roadmap!$A$5:$A$14,0)),"")</f>
        <v>Foundations</v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 t="str">
        <f>IFERROR(INDEX(Roadmap!$B$5:$B$14,MATCH(E7,Roadmap!$A$5:$A$14,0)),"")</f>
        <v>Foundations</v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 t="str">
        <f>IFERROR(INDEX(Roadmap!$B$5:$B$14,MATCH(E8,Roadmap!$A$5:$A$14,0)),"")</f>
        <v>Foundations</v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 t="str">
        <f>IFERROR(INDEX(Roadmap!$B$5:$B$14,MATCH(E9,Roadmap!$A$5:$A$14,0)),"")</f>
        <v>Foundations</v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 t="str">
        <f>IFERROR(INDEX(Roadmap!$B$5:$B$14,MATCH(E10,Roadmap!$A$5:$A$14,0)),"")</f>
        <v>Foundations</v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 t="str">
        <f>IFERROR(INDEX(Roadmap!$B$5:$B$14,MATCH(E11,Roadmap!$A$5:$A$14,0)),"")</f>
        <v>Foundations</v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 t="str">
        <f>IFERROR(INDEX(Roadmap!$B$5:$B$14,MATCH(E12,Roadmap!$A$5:$A$14,0)),"")</f>
        <v>Foundations</v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 t="str">
        <f>IFERROR(INDEX(Roadmap!$B$5:$B$14,MATCH(E13,Roadmap!$A$5:$A$14,0)),"")</f>
        <v>Web: core study loop</v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 t="str">
        <f>IFERROR(INDEX(Roadmap!$B$5:$B$14,MATCH(E14,Roadmap!$A$5:$A$14,0)),"")</f>
        <v>Web: core study loop</v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 t="str">
        <f>IFERROR(INDEX(Roadmap!$B$5:$B$14,MATCH(E15,Roadmap!$A$5:$A$14,0)),"")</f>
        <v>Web: core study loop</v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 t="str">
        <f>IFERROR(INDEX(Roadmap!$B$5:$B$14,MATCH(E16,Roadmap!$A$5:$A$14,0)),"")</f>
        <v>Web: core study loop</v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 t="str">
        <f>IFERROR(INDEX(Roadmap!$B$5:$B$14,MATCH(E17,Roadmap!$A$5:$A$14,0)),"")</f>
        <v>Web: core study loop</v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 t="str">
        <f>IFERROR(INDEX(Roadmap!$B$5:$B$14,MATCH(E18,Roadmap!$A$5:$A$14,0)),"")</f>
        <v>Web: core study loop</v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 t="str">
        <f>IFERROR(INDEX(Roadmap!$B$5:$B$14,MATCH(E19,Roadmap!$A$5:$A$14,0)),"")</f>
        <v>Web: core study loop</v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 t="str">
        <f>IFERROR(INDEX(Roadmap!$B$5:$B$14,MATCH(E20,Roadmap!$A$5:$A$14,0)),"")</f>
        <v>Web: core study loop</v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 t="str">
        <f>IFERROR(INDEX(Roadmap!$B$5:$B$14,MATCH(E21,Roadmap!$A$5:$A$14,0)),"")</f>
        <v>Production launch</v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Not started</t>
        </is>
      </c>
      <c r="K21" s="4" t="inlineStr"/>
      <c r="L21" s="4" t="inlineStr"/>
      <c r="M21" s="12" t="n"/>
      <c r="N21" s="12" t="n"/>
      <c r="O21" s="4" t="inlineStr">
        <is>
          <t>README roadmap</t>
        </is>
      </c>
      <c r="P21" s="4" t="inlineStr"/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 t="str">
        <f>IFERROR(INDEX(Roadmap!$B$5:$B$14,MATCH(E22,Roadmap!$A$5:$A$14,0)),"")</f>
        <v>Production launch</v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Not started</t>
        </is>
      </c>
      <c r="K22" s="4" t="inlineStr">
        <is>
          <t>SL-020</t>
        </is>
      </c>
      <c r="L22" s="4" t="inlineStr"/>
      <c r="M22" s="12" t="n"/>
      <c r="N22" s="12" t="n"/>
      <c r="O22" s="4" t="inlineStr">
        <is>
          <t>README roadmap</t>
        </is>
      </c>
      <c r="P22" s="4" t="inlineStr"/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 t="str">
        <f>IFERROR(INDEX(Roadmap!$B$5:$B$14,MATCH(E23,Roadmap!$A$5:$A$14,0)),"")</f>
        <v>Production launch</v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 t="str">
        <f>IFERROR(INDEX(Roadmap!$B$5:$B$14,MATCH(E24,Roadmap!$A$5:$A$14,0)),"")</f>
        <v>Production launch</v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Not started</t>
        </is>
      </c>
      <c r="K24" s="4" t="inlineStr"/>
      <c r="L24" s="4" t="inlineStr"/>
      <c r="M24" s="12" t="n"/>
      <c r="N24" s="12" t="n"/>
      <c r="O24" s="4" t="inlineStr">
        <is>
          <t>README roadmap</t>
        </is>
      </c>
      <c r="P24" s="4" t="inlineStr"/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 t="str">
        <f>IFERROR(INDEX(Roadmap!$B$5:$B$14,MATCH(E25,Roadmap!$A$5:$A$14,0)),"")</f>
        <v>Production launch</v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Not started</t>
        </is>
      </c>
      <c r="K25" s="4" t="inlineStr">
        <is>
          <t>SL-023</t>
        </is>
      </c>
      <c r="L25" s="4" t="inlineStr"/>
      <c r="M25" s="12" t="n"/>
      <c r="N25" s="12" t="n"/>
      <c r="O25" s="4" t="inlineStr">
        <is>
          <t>README roadmap</t>
        </is>
      </c>
      <c r="P25" s="4" t="inlineStr"/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 t="str">
        <f>IFERROR(INDEX(Roadmap!$B$5:$B$14,MATCH(E26,Roadmap!$A$5:$A$14,0)),"")</f>
        <v>Production launch</v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 t="str">
        <f>IFERROR(INDEX(Roadmap!$B$5:$B$14,MATCH(E27,Roadmap!$A$5:$A$14,0)),"")</f>
        <v>Production launch</v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 t="str">
        <f>IFERROR(INDEX(Roadmap!$B$5:$B$14,MATCH(E28,Roadmap!$A$5:$A$14,0)),"")</f>
        <v>Production launch</v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 t="str">
        <f>IFERROR(INDEX(Roadmap!$B$5:$B$14,MATCH(E29,Roadmap!$A$5:$A$14,0)),"")</f>
        <v>Production launch</v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 t="str">
        <f>IFERROR(INDEX(Roadmap!$B$5:$B$14,MATCH(E30,Roadmap!$A$5:$A$14,0)),"")</f>
        <v>Production launch</v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 t="str">
        <f>IFERROR(INDEX(Roadmap!$B$5:$B$14,MATCH(E31,Roadmap!$A$5:$A$14,0)),"")</f>
        <v>Email &amp; accounts</v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 t="str">
        <f>IFERROR(INDEX(Roadmap!$B$5:$B$14,MATCH(E32,Roadmap!$A$5:$A$14,0)),"")</f>
        <v>Email &amp; accounts</v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 t="str">
        <f>IFERROR(INDEX(Roadmap!$B$5:$B$14,MATCH(E33,Roadmap!$A$5:$A$14,0)),"")</f>
        <v>Email &amp; accounts</v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 t="str">
        <f>IFERROR(INDEX(Roadmap!$B$5:$B$14,MATCH(E34,Roadmap!$A$5:$A$14,0)),"")</f>
        <v>Email &amp; accounts</v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 t="str">
        <f>IFERROR(INDEX(Roadmap!$B$5:$B$14,MATCH(E35,Roadmap!$A$5:$A$14,0)),"")</f>
        <v>Email &amp; accounts</v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 t="str">
        <f>IFERROR(INDEX(Roadmap!$B$5:$B$14,MATCH(E36,Roadmap!$A$5:$A$14,0)),"")</f>
        <v>Teams &amp; creators (web)</v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Done</t>
        </is>
      </c>
      <c r="K36" s="4" t="inlineStr"/>
      <c r="L36" s="4" t="inlineStr"/>
      <c r="M36" s="12" t="n"/>
      <c r="N36" s="12" t="n">
        <v>46318</v>
      </c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 t="str">
        <f>IFERROR(INDEX(Roadmap!$B$5:$B$14,MATCH(E37,Roadmap!$A$5:$A$14,0)),"")</f>
        <v>Teams &amp; creators (web)</v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Done</t>
        </is>
      </c>
      <c r="K37" s="4" t="inlineStr">
        <is>
          <t>SL-035</t>
        </is>
      </c>
      <c r="L37" s="4" t="inlineStr"/>
      <c r="M37" s="12" t="n"/>
      <c r="N37" s="12" t="n">
        <v>46318</v>
      </c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 t="str">
        <f>IFERROR(INDEX(Roadmap!$B$5:$B$14,MATCH(E38,Roadmap!$A$5:$A$14,0)),"")</f>
        <v>Teams &amp; creators (web)</v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 t="str">
        <f>IFERROR(INDEX(Roadmap!$B$5:$B$14,MATCH(E39,Roadmap!$A$5:$A$14,0)),"")</f>
        <v>Teams &amp; creators (web)</v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 t="str">
        <f>IFERROR(INDEX(Roadmap!$B$5:$B$14,MATCH(E40,Roadmap!$A$5:$A$14,0)),"")</f>
        <v>Teams &amp; creators (web)</v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Done</t>
        </is>
      </c>
      <c r="K40" s="4" t="inlineStr">
        <is>
          <t>SL-013</t>
        </is>
      </c>
      <c r="L40" s="4" t="inlineStr"/>
      <c r="M40" s="12" t="n"/>
      <c r="N40" s="12" t="n">
        <v>46318</v>
      </c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 t="str">
        <f>IFERROR(INDEX(Roadmap!$B$5:$B$14,MATCH(E41,Roadmap!$A$5:$A$14,0)),"")</f>
        <v>Teams &amp; creators (web)</v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Not started</t>
        </is>
      </c>
      <c r="K41" s="4" t="inlineStr"/>
      <c r="L41" s="4" t="inlineStr"/>
      <c r="M41" s="12" t="n"/>
      <c r="N41" s="12" t="n"/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 t="str">
        <f>IFERROR(INDEX(Roadmap!$B$5:$B$14,MATCH(E42,Roadmap!$A$5:$A$14,0)),"")</f>
        <v>Teams &amp; creators (web)</v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Done</t>
        </is>
      </c>
      <c r="K42" s="4" t="inlineStr"/>
      <c r="L42" s="4" t="inlineStr"/>
      <c r="M42" s="12" t="n"/>
      <c r="N42" s="12" t="n">
        <v>46318</v>
      </c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 t="str">
        <f>IFERROR(INDEX(Roadmap!$B$5:$B$14,MATCH(E43,Roadmap!$A$5:$A$14,0)),"")</f>
        <v>Teams &amp; creators (web)</v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Done</t>
        </is>
      </c>
      <c r="K43" s="4" t="inlineStr"/>
      <c r="L43" s="4" t="inlineStr"/>
      <c r="M43" s="12" t="n"/>
      <c r="N43" s="12" t="n">
        <v>46318</v>
      </c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 t="str">
        <f>IFERROR(INDEX(Roadmap!$B$5:$B$14,MATCH(E44,Roadmap!$A$5:$A$14,0)),"")</f>
        <v>Engagement &amp; scale</v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 t="str">
        <f>IFERROR(INDEX(Roadmap!$B$5:$B$14,MATCH(E45,Roadmap!$A$5:$A$14,0)),"")</f>
        <v>Engagement &amp; scale</v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 t="str">
        <f>IFERROR(INDEX(Roadmap!$B$5:$B$14,MATCH(E46,Roadmap!$A$5:$A$14,0)),"")</f>
        <v>Engagement &amp; scale</v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 t="str">
        <f>IFERROR(INDEX(Roadmap!$B$5:$B$14,MATCH(E47,Roadmap!$A$5:$A$14,0)),"")</f>
        <v>Engagement &amp; scale</v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 t="str">
        <f>IFERROR(INDEX(Roadmap!$B$5:$B$14,MATCH(E48,Roadmap!$A$5:$A$14,0)),"")</f>
        <v>Quality &amp; docs</v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 t="str">
        <f>IFERROR(INDEX(Roadmap!$B$5:$B$14,MATCH(E49,Roadmap!$A$5:$A$14,0)),"")</f>
        <v>Quality &amp; docs</v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 t="str">
        <f>IFERROR(INDEX(Roadmap!$B$5:$B$14,MATCH(E50,Roadmap!$A$5:$A$14,0)),"")</f>
        <v>Quality &amp; docs</v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 t="str">
        <f>IFERROR(INDEX(Roadmap!$B$5:$B$14,MATCH(E51,Roadmap!$A$5:$A$14,0)),"")</f>
        <v>Quality &amp; docs</v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 t="str">
        <f>IFERROR(INDEX(Roadmap!$B$5:$B$14,MATCH(E52,Roadmap!$A$5:$A$14,0)),"")</f>
        <v>Quality &amp; docs</v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 t="str">
        <f>IFERROR(INDEX(Roadmap!$B$5:$B$14,MATCH(E53,Roadmap!$A$5:$A$14,0)),"")</f>
        <v>Quality &amp; docs</v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 t="str">
        <f>IFERROR(INDEX(Roadmap!$B$5:$B$14,MATCH(E54,Roadmap!$A$5:$A$14,0)),"")</f>
        <v>Quality &amp; docs</v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 t="str">
        <f>IFERROR(INDEX(Roadmap!$B$5:$B$14,MATCH(E55,Roadmap!$A$5:$A$14,0)),"")</f>
        <v>Quality &amp; docs</v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 t="str">
        <f>IFERROR(INDEX(Roadmap!$B$5:$B$14,MATCH(E56,Roadmap!$A$5:$A$14,0)),"")</f>
        <v>Mobile app</v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 t="str">
        <f>IFERROR(INDEX(Roadmap!$B$5:$B$14,MATCH(E57,Roadmap!$A$5:$A$14,0)),"")</f>
        <v>Design system &amp; redesign</v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 t="str">
        <f>IFERROR(INDEX(Roadmap!$B$5:$B$14,MATCH(E58,Roadmap!$A$5:$A$14,0)),"")</f>
        <v>Design system &amp; redesign</v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 t="str">
        <f>IFERROR(INDEX(Roadmap!$B$5:$B$14,MATCH(E59,Roadmap!$A$5:$A$14,0)),"")</f>
        <v>Design system &amp; redesign</v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 t="str">
        <f>IFERROR(INDEX(Roadmap!$B$5:$B$14,MATCH(E60,Roadmap!$A$5:$A$14,0)),"")</f>
        <v>Design system &amp; redesign</v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 t="str">
        <f>IFERROR(INDEX(Roadmap!$B$5:$B$14,MATCH(E61,Roadmap!$A$5:$A$14,0)),"")</f>
        <v>Design system &amp; redesign</v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 t="str">
        <f>IFERROR(INDEX(Roadmap!$B$5:$B$14,MATCH(E62,Roadmap!$A$5:$A$14,0)),"")</f>
        <v>Design system &amp; redesign</v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 t="str">
        <f>IFERROR(INDEX(Roadmap!$B$5:$B$14,MATCH(E63,Roadmap!$A$5:$A$14,0)),"")</f>
        <v>Design system &amp; redesign</v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 t="str">
        <f>IFERROR(INDEX(Roadmap!$B$5:$B$14,MATCH(E64,Roadmap!$A$5:$A$14,0)),"")</f>
        <v>Design system &amp; redesign</v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 t="str">
        <f>IFERROR(INDEX(Roadmap!$B$5:$B$14,MATCH(E65,Roadmap!$A$5:$A$14,0)),"")</f>
        <v>Design system &amp; redesign</v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 t="str">
        <f>IFERROR(INDEX(Roadmap!$B$5:$B$14,MATCH(E66,Roadmap!$A$5:$A$14,0)),"")</f>
        <v>Design system &amp; redesign</v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 t="str">
        <f>IFERROR(INDEX(Roadmap!$B$5:$B$14,MATCH(E67,Roadmap!$A$5:$A$14,0)),"")</f>
        <v>Design system &amp; redesign</v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 t="str">
        <f>IFERROR(INDEX(Roadmap!$B$5:$B$14,MATCH(E68,Roadmap!$A$5:$A$14,0)),"")</f>
        <v>Design system &amp; redesign</v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 t="str">
        <f>IFERROR(INDEX(Roadmap!$B$5:$B$14,MATCH(E69,Roadmap!$A$5:$A$14,0)),"")</f>
        <v>Design system &amp; redesign</v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 t="str">
        <f>IFERROR(INDEX(Roadmap!$B$5:$B$14,MATCH(E70,Roadmap!$A$5:$A$14,0)),"")</f>
        <v>Design system &amp; redesign</v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 t="str">
        <f>IFERROR(INDEX(Roadmap!$B$5:$B$14,MATCH(E71,Roadmap!$A$5:$A$14,0)),"")</f>
        <v>Insights</v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 t="str">
        <f>IFERROR(INDEX(Roadmap!$B$5:$B$14,MATCH(E72,Roadmap!$A$5:$A$14,0)),"")</f>
        <v>Insights</v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 t="str">
        <f>IFERROR(INDEX(Roadmap!$B$5:$B$14,MATCH(E73,Roadmap!$A$5:$A$14,0)),"")</f>
        <v>Insights</v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 t="str">
        <f>IFERROR(INDEX(Roadmap!$B$5:$B$14,MATCH(E74,Roadmap!$A$5:$A$14,0)),"")</f>
        <v>Insights</v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 t="str">
        <f>IFERROR(INDEX(Roadmap!$B$5:$B$14,MATCH(E75,Roadmap!$A$5:$A$14,0)),"")</f>
        <v>Insights</v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 t="str">
        <f>IFERROR(INDEX(Roadmap!$B$5:$B$14,MATCH(E76,Roadmap!$A$5:$A$14,0)),"")</f>
        <v>Insights</v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=Lists!$E$2:$E$10</formula1>
    </dataValidation>
    <dataValidation sqref="E2:E500" showDropDown="0" showInputMessage="0" showErrorMessage="0" allowBlank="1" type="list">
      <formula1>=Roadmap!$A$5:$A$14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(M0–M9).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2026-10-23T19:59:01Z</dcterms:modified>
</cp:coreProperties>
</file>