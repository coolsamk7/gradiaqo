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105" headerRowCount="1">
  <autoFilter ref="A1:P105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/>
      </c>
      <c r="G5" s="4">
        <f>COUNTIFS(Backlog!$E$2:$E$500,$A5,Backlog!$J$2:$J$500,"Done")</f>
        <v/>
      </c>
      <c r="H5" s="4">
        <f>COUNTIFS(Backlog!$E$2:$E$500,$A5,Backlog!$J$2:$J$500,"In progress")</f>
        <v/>
      </c>
      <c r="I5" s="4">
        <f>COUNTIFS(Backlog!$E$2:$E$500,$A5,Backlog!$J$2:$J$500,"Blocked")</f>
        <v/>
      </c>
      <c r="J5" s="4">
        <f>F5-G5</f>
        <v/>
      </c>
      <c r="K5" s="7">
        <f>IF(F5=0,0,G5/F5)</f>
        <v/>
      </c>
      <c r="L5" s="4">
        <f>IF(F5=0,"Empty",IF(G5=F5,"Done",IF(G5+H5+I5&gt;0,"In progress","Not started")))</f>
        <v/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/>
      </c>
      <c r="G6" s="4">
        <f>COUNTIFS(Backlog!$E$2:$E$500,$A6,Backlog!$J$2:$J$500,"Done")</f>
        <v/>
      </c>
      <c r="H6" s="4">
        <f>COUNTIFS(Backlog!$E$2:$E$500,$A6,Backlog!$J$2:$J$500,"In progress")</f>
        <v/>
      </c>
      <c r="I6" s="4">
        <f>COUNTIFS(Backlog!$E$2:$E$500,$A6,Backlog!$J$2:$J$500,"Blocked")</f>
        <v/>
      </c>
      <c r="J6" s="4">
        <f>F6-G6</f>
        <v/>
      </c>
      <c r="K6" s="7">
        <f>IF(F6=0,0,G6/F6)</f>
        <v/>
      </c>
      <c r="L6" s="4">
        <f>IF(F6=0,"Empty",IF(G6=F6,"Done",IF(G6+H6+I6&gt;0,"In progress","Not started")))</f>
        <v/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/>
      </c>
      <c r="G7" s="4">
        <f>COUNTIFS(Backlog!$E$2:$E$500,$A7,Backlog!$J$2:$J$500,"Done")</f>
        <v/>
      </c>
      <c r="H7" s="4">
        <f>COUNTIFS(Backlog!$E$2:$E$500,$A7,Backlog!$J$2:$J$500,"In progress")</f>
        <v/>
      </c>
      <c r="I7" s="4">
        <f>COUNTIFS(Backlog!$E$2:$E$500,$A7,Backlog!$J$2:$J$500,"Blocked")</f>
        <v/>
      </c>
      <c r="J7" s="4">
        <f>F7-G7</f>
        <v/>
      </c>
      <c r="K7" s="7">
        <f>IF(F7=0,0,G7/F7)</f>
        <v/>
      </c>
      <c r="L7" s="4">
        <f>IF(F7=0,"Empty",IF(G7=F7,"Done",IF(G7+H7+I7&gt;0,"In progress","Not started")))</f>
        <v/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Done so far</t>
        </is>
      </c>
      <c r="E8" s="6" t="n"/>
      <c r="F8" s="4">
        <f>COUNTIFS(Backlog!$E$2:$E$500,$A8,Backlog!$J$2:$J$500,"&lt;&gt;Won't do")</f>
        <v/>
      </c>
      <c r="G8" s="4">
        <f>COUNTIFS(Backlog!$E$2:$E$500,$A8,Backlog!$J$2:$J$500,"Done")</f>
        <v/>
      </c>
      <c r="H8" s="4">
        <f>COUNTIFS(Backlog!$E$2:$E$500,$A8,Backlog!$J$2:$J$500,"In progress")</f>
        <v/>
      </c>
      <c r="I8" s="4">
        <f>COUNTIFS(Backlog!$E$2:$E$500,$A8,Backlog!$J$2:$J$500,"Blocked")</f>
        <v/>
      </c>
      <c r="J8" s="4">
        <f>F8-G8</f>
        <v/>
      </c>
      <c r="K8" s="7">
        <f>IF(F8=0,0,G8/F8)</f>
        <v/>
      </c>
      <c r="L8" s="4">
        <f>IF(F8=0,"Empty",IF(G8=F8,"Done",IF(G8+H8+I8&gt;0,"In progress","Not started")))</f>
        <v/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/>
      </c>
      <c r="G9" s="4">
        <f>COUNTIFS(Backlog!$E$2:$E$500,$A9,Backlog!$J$2:$J$500,"Done")</f>
        <v/>
      </c>
      <c r="H9" s="4">
        <f>COUNTIFS(Backlog!$E$2:$E$500,$A9,Backlog!$J$2:$J$500,"In progress")</f>
        <v/>
      </c>
      <c r="I9" s="4">
        <f>COUNTIFS(Backlog!$E$2:$E$500,$A9,Backlog!$J$2:$J$500,"Blocked")</f>
        <v/>
      </c>
      <c r="J9" s="4">
        <f>F9-G9</f>
        <v/>
      </c>
      <c r="K9" s="7">
        <f>IF(F9=0,0,G9/F9)</f>
        <v/>
      </c>
      <c r="L9" s="4">
        <f>IF(F9=0,"Empty",IF(G9=F9,"Done",IF(G9+H9+I9&gt;0,"In progress","Not started")))</f>
        <v/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/>
      </c>
      <c r="G10" s="4">
        <f>COUNTIFS(Backlog!$E$2:$E$500,$A10,Backlog!$J$2:$J$500,"Done")</f>
        <v/>
      </c>
      <c r="H10" s="4">
        <f>COUNTIFS(Backlog!$E$2:$E$500,$A10,Backlog!$J$2:$J$500,"In progress")</f>
        <v/>
      </c>
      <c r="I10" s="4">
        <f>COUNTIFS(Backlog!$E$2:$E$500,$A10,Backlog!$J$2:$J$500,"Blocked")</f>
        <v/>
      </c>
      <c r="J10" s="4">
        <f>F10-G10</f>
        <v/>
      </c>
      <c r="K10" s="7">
        <f>IF(F10=0,0,G10/F10)</f>
        <v/>
      </c>
      <c r="L10" s="4">
        <f>IF(F10=0,"Empty",IF(G10=F10,"Done",IF(G10+H10+I10&gt;0,"In progress","Not started")))</f>
        <v/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Done so far</t>
        </is>
      </c>
      <c r="E11" s="6" t="n"/>
      <c r="F11" s="4">
        <f>COUNTIFS(Backlog!$E$2:$E$500,$A11,Backlog!$J$2:$J$500,"&lt;&gt;Won't do")</f>
        <v/>
      </c>
      <c r="G11" s="4">
        <f>COUNTIFS(Backlog!$E$2:$E$500,$A11,Backlog!$J$2:$J$500,"Done")</f>
        <v/>
      </c>
      <c r="H11" s="4">
        <f>COUNTIFS(Backlog!$E$2:$E$500,$A11,Backlog!$J$2:$J$500,"In progress")</f>
        <v/>
      </c>
      <c r="I11" s="4">
        <f>COUNTIFS(Backlog!$E$2:$E$500,$A11,Backlog!$J$2:$J$500,"Blocked")</f>
        <v/>
      </c>
      <c r="J11" s="4">
        <f>F11-G11</f>
        <v/>
      </c>
      <c r="K11" s="7">
        <f>IF(F11=0,0,G11/F11)</f>
        <v/>
      </c>
      <c r="L11" s="4">
        <f>IF(F11=0,"Empty",IF(G11=F11,"Done",IF(G11+H11+I11&gt;0,"In progress","Not started")))</f>
        <v/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/>
      </c>
      <c r="G12" s="4">
        <f>COUNTIFS(Backlog!$E$2:$E$500,$A12,Backlog!$J$2:$J$500,"Done")</f>
        <v/>
      </c>
      <c r="H12" s="4">
        <f>COUNTIFS(Backlog!$E$2:$E$500,$A12,Backlog!$J$2:$J$500,"In progress")</f>
        <v/>
      </c>
      <c r="I12" s="4">
        <f>COUNTIFS(Backlog!$E$2:$E$500,$A12,Backlog!$J$2:$J$500,"Blocked")</f>
        <v/>
      </c>
      <c r="J12" s="4">
        <f>F12-G12</f>
        <v/>
      </c>
      <c r="K12" s="7">
        <f>IF(F12=0,0,G12/F12)</f>
        <v/>
      </c>
      <c r="L12" s="4">
        <f>IF(F12=0,"Empty",IF(G12=F12,"Done",IF(G12+H12+I12&gt;0,"In progress","Not started")))</f>
        <v/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/>
      </c>
      <c r="G13" s="4">
        <f>COUNTIFS(Backlog!$E$2:$E$500,$A13,Backlog!$J$2:$J$500,"Done")</f>
        <v/>
      </c>
      <c r="H13" s="4">
        <f>COUNTIFS(Backlog!$E$2:$E$500,$A13,Backlog!$J$2:$J$500,"In progress")</f>
        <v/>
      </c>
      <c r="I13" s="4">
        <f>COUNTIFS(Backlog!$E$2:$E$500,$A13,Backlog!$J$2:$J$500,"Blocked")</f>
        <v/>
      </c>
      <c r="J13" s="4">
        <f>F13-G13</f>
        <v/>
      </c>
      <c r="K13" s="7">
        <f>IF(F13=0,0,G13/F13)</f>
        <v/>
      </c>
      <c r="L13" s="4">
        <f>IF(F13=0,"Empty",IF(G13=F13,"Done",IF(G13+H13+I13&gt;0,"In progress","Not started")))</f>
        <v/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/>
      </c>
      <c r="G14" s="4">
        <f>COUNTIFS(Backlog!$E$2:$E$500,$A14,Backlog!$J$2:$J$500,"Done")</f>
        <v/>
      </c>
      <c r="H14" s="4">
        <f>COUNTIFS(Backlog!$E$2:$E$500,$A14,Backlog!$J$2:$J$500,"In progress")</f>
        <v/>
      </c>
      <c r="I14" s="4">
        <f>COUNTIFS(Backlog!$E$2:$E$500,$A14,Backlog!$J$2:$J$500,"Blocked")</f>
        <v/>
      </c>
      <c r="J14" s="4">
        <f>F14-G14</f>
        <v/>
      </c>
      <c r="K14" s="7">
        <f>IF(F14=0,0,G14/F14)</f>
        <v/>
      </c>
      <c r="L14" s="4">
        <f>IF(F14=0,"Empty",IF(G14=F14,"Done",IF(G14+H14+I14&gt;0,"In progress","Not started")))</f>
        <v/>
      </c>
    </row>
    <row r="15">
      <c r="A15" s="4" t="inlineStr">
        <is>
          <t>M10</t>
        </is>
      </c>
      <c r="B15" s="4" t="inlineStr">
        <is>
          <t>Platform admin</t>
        </is>
      </c>
      <c r="C15" s="4" t="inlineStr">
        <is>
          <t>Superadmin tools to run the platform: users, an overview, organizations and an audit log</t>
        </is>
      </c>
      <c r="D15" s="5" t="inlineStr">
        <is>
          <t>Next</t>
        </is>
      </c>
      <c r="E15" s="6" t="n"/>
      <c r="F15" s="4">
        <f>COUNTIFS(Backlog!$E$2:$E$500,$A15,Backlog!$J$2:$J$500,"&lt;&gt;Won't do")</f>
        <v/>
      </c>
      <c r="G15" s="4">
        <f>COUNTIFS(Backlog!$E$2:$E$500,$A15,Backlog!$J$2:$J$500,"Done")</f>
        <v/>
      </c>
      <c r="H15" s="4">
        <f>COUNTIFS(Backlog!$E$2:$E$500,$A15,Backlog!$J$2:$J$500,"In progress")</f>
        <v/>
      </c>
      <c r="I15" s="4">
        <f>COUNTIFS(Backlog!$E$2:$E$500,$A15,Backlog!$J$2:$J$500,"Blocked")</f>
        <v/>
      </c>
      <c r="J15" s="4">
        <f>F15-G15</f>
        <v/>
      </c>
      <c r="K15" s="7">
        <f>IF(F15=0,0,G15/F15)</f>
        <v/>
      </c>
      <c r="L15" s="4">
        <f>IF(F15=0,"Empty",IF(G15=F15,"Done",IF(G15+H15+I15&gt;0,"In progress","Not started")))</f>
        <v/>
      </c>
    </row>
    <row r="16">
      <c r="A16" s="4" t="inlineStr">
        <is>
          <t>M11</t>
        </is>
      </c>
      <c r="B16" s="4" t="inlineStr">
        <is>
          <t>Launch &amp; growth</t>
        </is>
      </c>
      <c r="C16" s="4" t="inlineStr">
        <is>
          <t>The first users: official paths to study, outreach, feedback and the numbers that show what works</t>
        </is>
      </c>
      <c r="D16" s="5" t="inlineStr">
        <is>
          <t>Next</t>
        </is>
      </c>
      <c r="E16" s="6" t="n"/>
      <c r="F16" s="4">
        <f>COUNTIFS(Backlog!$E$2:$E$500,$A16,Backlog!$J$2:$J$500,"&lt;&gt;Won't do")</f>
        <v/>
      </c>
      <c r="G16" s="4">
        <f>COUNTIFS(Backlog!$E$2:$E$500,$A16,Backlog!$J$2:$J$500,"Done")</f>
        <v/>
      </c>
      <c r="H16" s="4">
        <f>COUNTIFS(Backlog!$E$2:$E$500,$A16,Backlog!$J$2:$J$500,"In progress")</f>
        <v/>
      </c>
      <c r="I16" s="4">
        <f>COUNTIFS(Backlog!$E$2:$E$500,$A16,Backlog!$J$2:$J$500,"Blocked")</f>
        <v/>
      </c>
      <c r="J16" s="4">
        <f>F16-G16</f>
        <v/>
      </c>
      <c r="K16" s="7">
        <f>IF(F16=0,0,G16/F16)</f>
        <v/>
      </c>
      <c r="L16" s="4">
        <f>IF(F16=0,"Empty",IF(G16=F16,"Done",IF(G16+H16+I16&gt;0,"In progress","Not started")))</f>
        <v/>
      </c>
    </row>
    <row r="17">
      <c r="A17" s="8" t="inlineStr">
        <is>
          <t>Total</t>
        </is>
      </c>
      <c r="B17" s="9" t="n"/>
      <c r="C17" s="9" t="n"/>
      <c r="D17" s="9" t="n"/>
      <c r="E17" s="9" t="n"/>
      <c r="F17" s="8">
        <f>SUM(F5:F16)</f>
        <v/>
      </c>
      <c r="G17" s="8">
        <f>SUM(G5:G16)</f>
        <v/>
      </c>
      <c r="H17" s="8">
        <f>SUM(H5:H16)</f>
        <v/>
      </c>
      <c r="I17" s="8">
        <f>SUM(I5:I16)</f>
        <v/>
      </c>
      <c r="J17" s="8">
        <f>SUM(J5:J16)</f>
        <v/>
      </c>
      <c r="K17" s="10">
        <f>IF(F17=0,0,G17/F17)</f>
        <v/>
      </c>
      <c r="L17" s="9" t="n"/>
    </row>
  </sheetData>
  <conditionalFormatting sqref="L5:L16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>
        <f>IFERROR(INDEX(Roadmap!$B$5:$B$16,MATCH(E2,Roadmap!$A$5:$A$16,0)),"")</f>
        <v/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>
        <f>IFERROR(INDEX(Roadmap!$B$5:$B$16,MATCH(E3,Roadmap!$A$5:$A$16,0)),"")</f>
        <v/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>
        <f>IFERROR(INDEX(Roadmap!$B$5:$B$16,MATCH(E4,Roadmap!$A$5:$A$16,0)),"")</f>
        <v/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>
        <f>IFERROR(INDEX(Roadmap!$B$5:$B$16,MATCH(E5,Roadmap!$A$5:$A$16,0)),"")</f>
        <v/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>
        <f>IFERROR(INDEX(Roadmap!$B$5:$B$16,MATCH(E6,Roadmap!$A$5:$A$16,0)),"")</f>
        <v/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>
        <f>IFERROR(INDEX(Roadmap!$B$5:$B$16,MATCH(E7,Roadmap!$A$5:$A$16,0)),"")</f>
        <v/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>
        <f>IFERROR(INDEX(Roadmap!$B$5:$B$16,MATCH(E8,Roadmap!$A$5:$A$16,0)),"")</f>
        <v/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>
        <f>IFERROR(INDEX(Roadmap!$B$5:$B$16,MATCH(E9,Roadmap!$A$5:$A$16,0)),"")</f>
        <v/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>
        <f>IFERROR(INDEX(Roadmap!$B$5:$B$16,MATCH(E10,Roadmap!$A$5:$A$16,0)),"")</f>
        <v/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>
        <f>IFERROR(INDEX(Roadmap!$B$5:$B$16,MATCH(E11,Roadmap!$A$5:$A$16,0)),"")</f>
        <v/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>
        <f>IFERROR(INDEX(Roadmap!$B$5:$B$16,MATCH(E12,Roadmap!$A$5:$A$16,0)),"")</f>
        <v/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>
        <f>IFERROR(INDEX(Roadmap!$B$5:$B$16,MATCH(E13,Roadmap!$A$5:$A$16,0)),"")</f>
        <v/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>
        <f>IFERROR(INDEX(Roadmap!$B$5:$B$16,MATCH(E14,Roadmap!$A$5:$A$16,0)),"")</f>
        <v/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>
        <f>IFERROR(INDEX(Roadmap!$B$5:$B$16,MATCH(E15,Roadmap!$A$5:$A$16,0)),"")</f>
        <v/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>
        <f>IFERROR(INDEX(Roadmap!$B$5:$B$16,MATCH(E16,Roadmap!$A$5:$A$16,0)),"")</f>
        <v/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>
        <f>IFERROR(INDEX(Roadmap!$B$5:$B$16,MATCH(E17,Roadmap!$A$5:$A$16,0)),"")</f>
        <v/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>
        <f>IFERROR(INDEX(Roadmap!$B$5:$B$16,MATCH(E18,Roadmap!$A$5:$A$16,0)),"")</f>
        <v/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>
        <f>IFERROR(INDEX(Roadmap!$B$5:$B$16,MATCH(E19,Roadmap!$A$5:$A$16,0)),"")</f>
        <v/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>
        <f>IFERROR(INDEX(Roadmap!$B$5:$B$16,MATCH(E20,Roadmap!$A$5:$A$16,0)),"")</f>
        <v/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Done</t>
        </is>
      </c>
      <c r="K20" s="4" t="inlineStr"/>
      <c r="L20" s="4" t="inlineStr"/>
      <c r="M20" s="12" t="n"/>
      <c r="N20" s="12" t="n">
        <v>46318</v>
      </c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>
        <f>IFERROR(INDEX(Roadmap!$B$5:$B$16,MATCH(E21,Roadmap!$A$5:$A$16,0)),"")</f>
        <v/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Done</t>
        </is>
      </c>
      <c r="K21" s="4" t="inlineStr"/>
      <c r="L21" s="4" t="inlineStr"/>
      <c r="M21" s="12" t="n"/>
      <c r="N21" s="12" t="n">
        <v>46319</v>
      </c>
      <c r="O21" s="4" t="inlineStr">
        <is>
          <t>README roadmap</t>
        </is>
      </c>
      <c r="P21" s="4" t="inlineStr">
        <is>
          <t>PRs only: lint, build, unit tests with coverage (posted on the PR) and the Playwright UI tests; turbo and Playwright caching. migration:generate --check and mutation testing moved to SL-080.</t>
        </is>
      </c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>
        <f>IFERROR(INDEX(Roadmap!$B$5:$B$16,MATCH(E22,Roadmap!$A$5:$A$16,0)),"")</f>
        <v/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In progress</t>
        </is>
      </c>
      <c r="K22" s="4" t="inlineStr">
        <is>
          <t>SL-020</t>
        </is>
      </c>
      <c r="L22" s="4" t="inlineStr"/>
      <c r="M22" s="12" t="n"/>
      <c r="N22" s="12" t="n"/>
      <c r="O22" s="4" t="inlineStr">
        <is>
          <t>README roadmap</t>
        </is>
      </c>
      <c r="P22" s="4" t="inlineStr">
        <is>
          <t>Ruleset ready to import (master-ruleset.json: PRs only, both CI checks, branch up to date, no force pushes). Done once it shows Active under Settings → Rules.</t>
        </is>
      </c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>
        <f>IFERROR(INDEX(Roadmap!$B$5:$B$16,MATCH(E23,Roadmap!$A$5:$A$16,0)),"")</f>
        <v/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>
        <f>IFERROR(INDEX(Roadmap!$B$5:$B$16,MATCH(E24,Roadmap!$A$5:$A$16,0)),"")</f>
        <v/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Done</t>
        </is>
      </c>
      <c r="K24" s="4" t="inlineStr"/>
      <c r="L24" s="4" t="inlineStr"/>
      <c r="M24" s="12" t="n"/>
      <c r="N24" s="12" t="n">
        <v>46319</v>
      </c>
      <c r="O24" s="4" t="inlineStr">
        <is>
          <t>README roadmap</t>
        </is>
      </c>
      <c r="P24" s="4" t="inlineStr">
        <is>
          <t>Images built by GitHub Actions to GHCR; deployed on Civo k3s (deploy/civo), live at https://gradiaqo.com. Migrations run in an init container before the API starts.</t>
        </is>
      </c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>
        <f>IFERROR(INDEX(Roadmap!$B$5:$B$16,MATCH(E25,Roadmap!$A$5:$A$16,0)),"")</f>
        <v/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Done</t>
        </is>
      </c>
      <c r="K25" s="4" t="inlineStr">
        <is>
          <t>SL-023</t>
        </is>
      </c>
      <c r="L25" s="4" t="inlineStr"/>
      <c r="M25" s="12" t="n"/>
      <c r="N25" s="12" t="n">
        <v>46319</v>
      </c>
      <c r="O25" s="4" t="inlineStr">
        <is>
          <t>README roadmap</t>
        </is>
      </c>
      <c r="P25" s="4" t="inlineStr">
        <is>
          <t>deploy/k8s/config.env: production, secure cookies, Swagger off, TRUST_PROXY=2 (Traefik + Caddy). SMTP on port 2525: Civo blocks 25/465/587.</t>
        </is>
      </c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>
        <f>IFERROR(INDEX(Roadmap!$B$5:$B$16,MATCH(E26,Roadmap!$A$5:$A$16,0)),"")</f>
        <v/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>
        <f>IFERROR(INDEX(Roadmap!$B$5:$B$16,MATCH(E27,Roadmap!$A$5:$A$16,0)),"")</f>
        <v/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/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>
        <f>IFERROR(INDEX(Roadmap!$B$5:$B$16,MATCH(E28,Roadmap!$A$5:$A$16,0)),"")</f>
        <v/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>
        <f>IFERROR(INDEX(Roadmap!$B$5:$B$16,MATCH(E29,Roadmap!$A$5:$A$16,0)),"")</f>
        <v/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>
        <f>IFERROR(INDEX(Roadmap!$B$5:$B$16,MATCH(E30,Roadmap!$A$5:$A$16,0)),"")</f>
        <v/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>
        <f>IFERROR(INDEX(Roadmap!$B$5:$B$16,MATCH(E31,Roadmap!$A$5:$A$16,0)),"")</f>
        <v/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>
        <f>IFERROR(INDEX(Roadmap!$B$5:$B$16,MATCH(E32,Roadmap!$A$5:$A$16,0)),"")</f>
        <v/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>
        <f>IFERROR(INDEX(Roadmap!$B$5:$B$16,MATCH(E33,Roadmap!$A$5:$A$16,0)),"")</f>
        <v/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>
        <f>IFERROR(INDEX(Roadmap!$B$5:$B$16,MATCH(E34,Roadmap!$A$5:$A$16,0)),"")</f>
        <v/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>
        <f>IFERROR(INDEX(Roadmap!$B$5:$B$16,MATCH(E35,Roadmap!$A$5:$A$16,0)),"")</f>
        <v/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>
        <f>IFERROR(INDEX(Roadmap!$B$5:$B$16,MATCH(E36,Roadmap!$A$5:$A$16,0)),"")</f>
        <v/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Done</t>
        </is>
      </c>
      <c r="K36" s="4" t="inlineStr"/>
      <c r="L36" s="4" t="inlineStr"/>
      <c r="M36" s="12" t="n"/>
      <c r="N36" s="12" t="n">
        <v>46318</v>
      </c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>
        <f>IFERROR(INDEX(Roadmap!$B$5:$B$16,MATCH(E37,Roadmap!$A$5:$A$16,0)),"")</f>
        <v/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Done</t>
        </is>
      </c>
      <c r="K37" s="4" t="inlineStr">
        <is>
          <t>SL-035</t>
        </is>
      </c>
      <c r="L37" s="4" t="inlineStr"/>
      <c r="M37" s="12" t="n"/>
      <c r="N37" s="12" t="n">
        <v>46318</v>
      </c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>
        <f>IFERROR(INDEX(Roadmap!$B$5:$B$16,MATCH(E38,Roadmap!$A$5:$A$16,0)),"")</f>
        <v/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>
        <f>IFERROR(INDEX(Roadmap!$B$5:$B$16,MATCH(E39,Roadmap!$A$5:$A$16,0)),"")</f>
        <v/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>
        <f>IFERROR(INDEX(Roadmap!$B$5:$B$16,MATCH(E40,Roadmap!$A$5:$A$16,0)),"")</f>
        <v/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Done</t>
        </is>
      </c>
      <c r="K40" s="4" t="inlineStr">
        <is>
          <t>SL-013</t>
        </is>
      </c>
      <c r="L40" s="4" t="inlineStr"/>
      <c r="M40" s="12" t="n"/>
      <c r="N40" s="12" t="n">
        <v>46318</v>
      </c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>
        <f>IFERROR(INDEX(Roadmap!$B$5:$B$16,MATCH(E41,Roadmap!$A$5:$A$16,0)),"")</f>
        <v/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Done</t>
        </is>
      </c>
      <c r="K41" s="4" t="inlineStr"/>
      <c r="L41" s="4" t="inlineStr"/>
      <c r="M41" s="12" t="n"/>
      <c r="N41" s="12" t="n">
        <v>46318</v>
      </c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>
        <f>IFERROR(INDEX(Roadmap!$B$5:$B$16,MATCH(E42,Roadmap!$A$5:$A$16,0)),"")</f>
        <v/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Done</t>
        </is>
      </c>
      <c r="K42" s="4" t="inlineStr"/>
      <c r="L42" s="4" t="inlineStr"/>
      <c r="M42" s="12" t="n"/>
      <c r="N42" s="12" t="n">
        <v>46318</v>
      </c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>
        <f>IFERROR(INDEX(Roadmap!$B$5:$B$16,MATCH(E43,Roadmap!$A$5:$A$16,0)),"")</f>
        <v/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Done</t>
        </is>
      </c>
      <c r="K43" s="4" t="inlineStr"/>
      <c r="L43" s="4" t="inlineStr"/>
      <c r="M43" s="12" t="n"/>
      <c r="N43" s="12" t="n">
        <v>46318</v>
      </c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>
        <f>IFERROR(INDEX(Roadmap!$B$5:$B$16,MATCH(E44,Roadmap!$A$5:$A$16,0)),"")</f>
        <v/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>
        <f>IFERROR(INDEX(Roadmap!$B$5:$B$16,MATCH(E45,Roadmap!$A$5:$A$16,0)),"")</f>
        <v/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>
        <f>IFERROR(INDEX(Roadmap!$B$5:$B$16,MATCH(E46,Roadmap!$A$5:$A$16,0)),"")</f>
        <v/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>
        <f>IFERROR(INDEX(Roadmap!$B$5:$B$16,MATCH(E47,Roadmap!$A$5:$A$16,0)),"")</f>
        <v/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>
        <f>IFERROR(INDEX(Roadmap!$B$5:$B$16,MATCH(E48,Roadmap!$A$5:$A$16,0)),"")</f>
        <v/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>
        <f>IFERROR(INDEX(Roadmap!$B$5:$B$16,MATCH(E49,Roadmap!$A$5:$A$16,0)),"")</f>
        <v/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>
        <f>IFERROR(INDEX(Roadmap!$B$5:$B$16,MATCH(E50,Roadmap!$A$5:$A$16,0)),"")</f>
        <v/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>
        <f>IFERROR(INDEX(Roadmap!$B$5:$B$16,MATCH(E51,Roadmap!$A$5:$A$16,0)),"")</f>
        <v/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>
        <f>IFERROR(INDEX(Roadmap!$B$5:$B$16,MATCH(E52,Roadmap!$A$5:$A$16,0)),"")</f>
        <v/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>
        <f>IFERROR(INDEX(Roadmap!$B$5:$B$16,MATCH(E53,Roadmap!$A$5:$A$16,0)),"")</f>
        <v/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>
        <f>IFERROR(INDEX(Roadmap!$B$5:$B$16,MATCH(E54,Roadmap!$A$5:$A$16,0)),"")</f>
        <v/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>
        <f>IFERROR(INDEX(Roadmap!$B$5:$B$16,MATCH(E55,Roadmap!$A$5:$A$16,0)),"")</f>
        <v/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>
        <f>IFERROR(INDEX(Roadmap!$B$5:$B$16,MATCH(E56,Roadmap!$A$5:$A$16,0)),"")</f>
        <v/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>
        <f>IFERROR(INDEX(Roadmap!$B$5:$B$16,MATCH(E57,Roadmap!$A$5:$A$16,0)),"")</f>
        <v/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>
        <f>IFERROR(INDEX(Roadmap!$B$5:$B$16,MATCH(E58,Roadmap!$A$5:$A$16,0)),"")</f>
        <v/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>
        <f>IFERROR(INDEX(Roadmap!$B$5:$B$16,MATCH(E59,Roadmap!$A$5:$A$16,0)),"")</f>
        <v/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>
        <f>IFERROR(INDEX(Roadmap!$B$5:$B$16,MATCH(E60,Roadmap!$A$5:$A$16,0)),"")</f>
        <v/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>
        <f>IFERROR(INDEX(Roadmap!$B$5:$B$16,MATCH(E61,Roadmap!$A$5:$A$16,0)),"")</f>
        <v/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>
        <f>IFERROR(INDEX(Roadmap!$B$5:$B$16,MATCH(E62,Roadmap!$A$5:$A$16,0)),"")</f>
        <v/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>
        <f>IFERROR(INDEX(Roadmap!$B$5:$B$16,MATCH(E63,Roadmap!$A$5:$A$16,0)),"")</f>
        <v/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>
        <f>IFERROR(INDEX(Roadmap!$B$5:$B$16,MATCH(E64,Roadmap!$A$5:$A$16,0)),"")</f>
        <v/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>
        <f>IFERROR(INDEX(Roadmap!$B$5:$B$16,MATCH(E65,Roadmap!$A$5:$A$16,0)),"")</f>
        <v/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>
        <f>IFERROR(INDEX(Roadmap!$B$5:$B$16,MATCH(E66,Roadmap!$A$5:$A$16,0)),"")</f>
        <v/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>
        <f>IFERROR(INDEX(Roadmap!$B$5:$B$16,MATCH(E67,Roadmap!$A$5:$A$16,0)),"")</f>
        <v/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>
        <f>IFERROR(INDEX(Roadmap!$B$5:$B$16,MATCH(E68,Roadmap!$A$5:$A$16,0)),"")</f>
        <v/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>
        <f>IFERROR(INDEX(Roadmap!$B$5:$B$16,MATCH(E69,Roadmap!$A$5:$A$16,0)),"")</f>
        <v/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>
        <f>IFERROR(INDEX(Roadmap!$B$5:$B$16,MATCH(E70,Roadmap!$A$5:$A$16,0)),"")</f>
        <v/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>
        <f>IFERROR(INDEX(Roadmap!$B$5:$B$16,MATCH(E71,Roadmap!$A$5:$A$16,0)),"")</f>
        <v/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>
        <f>IFERROR(INDEX(Roadmap!$B$5:$B$16,MATCH(E72,Roadmap!$A$5:$A$16,0)),"")</f>
        <v/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>
        <f>IFERROR(INDEX(Roadmap!$B$5:$B$16,MATCH(E73,Roadmap!$A$5:$A$16,0)),"")</f>
        <v/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>
        <f>IFERROR(INDEX(Roadmap!$B$5:$B$16,MATCH(E74,Roadmap!$A$5:$A$16,0)),"")</f>
        <v/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>
        <f>IFERROR(INDEX(Roadmap!$B$5:$B$16,MATCH(E75,Roadmap!$A$5:$A$16,0)),"")</f>
        <v/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>
        <f>IFERROR(INDEX(Roadmap!$B$5:$B$16,MATCH(E76,Roadmap!$A$5:$A$16,0)),"")</f>
        <v/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  <row r="77">
      <c r="A77" s="4" t="inlineStr">
        <is>
          <t>SL-076</t>
        </is>
      </c>
      <c r="B77" s="4" t="inlineStr">
        <is>
          <t>Database backups off the server</t>
        </is>
      </c>
      <c r="C77" s="4" t="inlineStr">
        <is>
          <t>Nightly pg_dump as a Kubernetes CronJob, uploaded to object storage outside Civo (Cloudflare R2 or Backblaze B2 free tier, or Civo Object Store about $5.43/month); keep 30 days; test a restore</t>
        </is>
      </c>
      <c r="D77" s="4" t="inlineStr">
        <is>
          <t>Operations</t>
        </is>
      </c>
      <c r="E77" s="4" t="inlineStr">
        <is>
          <t>M2</t>
        </is>
      </c>
      <c r="F77" s="4">
        <f>IFERROR(INDEX(Roadmap!$B$5:$B$16,MATCH(E77,Roadmap!$A$5:$A$16,0)),"")</f>
        <v/>
      </c>
      <c r="G77" s="4" t="inlineStr">
        <is>
          <t>Feature</t>
        </is>
      </c>
      <c r="H77" s="4" t="inlineStr">
        <is>
          <t>P1</t>
        </is>
      </c>
      <c r="I77" s="4" t="inlineStr">
        <is>
          <t>M</t>
        </is>
      </c>
      <c r="J77" s="4" t="inlineStr">
        <is>
          <t>Not started</t>
        </is>
      </c>
      <c r="K77" s="4" t="inlineStr">
        <is>
          <t>SL-023</t>
        </is>
      </c>
      <c r="L77" s="4" t="n"/>
      <c r="M77" s="12" t="n"/>
      <c r="N77" s="12" t="n"/>
      <c r="O77" s="4" t="inlineStr">
        <is>
          <t>Proposed</t>
        </is>
      </c>
      <c r="P77" s="4" t="inlineStr">
        <is>
          <t>The database volume is set to Retain, but that is not a backup. Decide the storage first.</t>
        </is>
      </c>
    </row>
    <row r="78">
      <c r="A78" s="4" t="inlineStr">
        <is>
          <t>SL-077</t>
        </is>
      </c>
      <c r="B78" s="4" t="inlineStr">
        <is>
          <t>Finish Brevo email authentication</t>
        </is>
      </c>
      <c r="C78" s="4" t="inlineStr">
        <is>
          <t>Merge SPF into one record (v=spf1 include:zoho.in include:spf.brevo.com ~all); Authenticate the domain in Brevo; check DKIM and DMARC pass in Gmail ("Show original")</t>
        </is>
      </c>
      <c r="D78" s="4" t="inlineStr">
        <is>
          <t>Operations</t>
        </is>
      </c>
      <c r="E78" s="4" t="inlineStr">
        <is>
          <t>M2</t>
        </is>
      </c>
      <c r="F78" s="4">
        <f>IFERROR(INDEX(Roadmap!$B$5:$B$16,MATCH(E78,Roadmap!$A$5:$A$16,0)),"")</f>
        <v/>
      </c>
      <c r="G78" s="4" t="inlineStr">
        <is>
          <t>Chore</t>
        </is>
      </c>
      <c r="H78" s="4" t="inlineStr">
        <is>
          <t>P1</t>
        </is>
      </c>
      <c r="I78" s="4" t="inlineStr">
        <is>
          <t>XS</t>
        </is>
      </c>
      <c r="J78" s="4" t="inlineStr">
        <is>
          <t>In progress</t>
        </is>
      </c>
      <c r="K78" s="4" t="n"/>
      <c r="L78" s="4" t="n"/>
      <c r="M78" s="12" t="n"/>
      <c r="N78" s="12" t="n"/>
      <c r="O78" s="4" t="inlineStr">
        <is>
          <t>Proposed</t>
        </is>
      </c>
      <c r="P78" s="4" t="inlineStr">
        <is>
          <t>brevo-code, DKIM (brevo1/brevo2) and DMARC records are live; SPF still only has Zoho.</t>
        </is>
      </c>
    </row>
    <row r="79">
      <c r="A79" s="4" t="inlineStr">
        <is>
          <t>SL-078</t>
        </is>
      </c>
      <c r="B79" s="4" t="inlineStr">
        <is>
          <t>Redirect www to gradiaqo.com</t>
        </is>
      </c>
      <c r="C79" s="4" t="inlineStr">
        <is>
          <t>www.gradiaqo.com has a CNAME but no certificate or route: add it to the Ingress and certificate, redirecting to the bare domain</t>
        </is>
      </c>
      <c r="D79" s="4" t="inlineStr">
        <is>
          <t>DevOps</t>
        </is>
      </c>
      <c r="E79" s="4" t="inlineStr">
        <is>
          <t>M2</t>
        </is>
      </c>
      <c r="F79" s="4">
        <f>IFERROR(INDEX(Roadmap!$B$5:$B$16,MATCH(E79,Roadmap!$A$5:$A$16,0)),"")</f>
        <v/>
      </c>
      <c r="G79" s="4" t="inlineStr">
        <is>
          <t>Bug</t>
        </is>
      </c>
      <c r="H79" s="4" t="inlineStr">
        <is>
          <t>P2</t>
        </is>
      </c>
      <c r="I79" s="4" t="inlineStr">
        <is>
          <t>XS</t>
        </is>
      </c>
      <c r="J79" s="4" t="inlineStr">
        <is>
          <t>Not started</t>
        </is>
      </c>
      <c r="K79" s="4" t="inlineStr">
        <is>
          <t>SL-023</t>
        </is>
      </c>
      <c r="L79" s="4" t="n"/>
      <c r="M79" s="12" t="n"/>
      <c r="N79" s="12" t="n"/>
      <c r="O79" s="4" t="inlineStr">
        <is>
          <t>Proposed</t>
        </is>
      </c>
      <c r="P79" s="4" t="n"/>
    </row>
    <row r="80">
      <c r="A80" s="4" t="inlineStr">
        <is>
          <t>SL-079</t>
        </is>
      </c>
      <c r="B80" s="4" t="inlineStr">
        <is>
          <t>Uptime monitoring</t>
        </is>
      </c>
      <c r="C80" s="4" t="inlineStr">
        <is>
          <t>External check on https://gradiaqo.com/health (e.g. UptimeRobot or Better Stack) with email alerts</t>
        </is>
      </c>
      <c r="D80" s="4" t="inlineStr">
        <is>
          <t>Operations</t>
        </is>
      </c>
      <c r="E80" s="4" t="inlineStr">
        <is>
          <t>M2</t>
        </is>
      </c>
      <c r="F80" s="4">
        <f>IFERROR(INDEX(Roadmap!$B$5:$B$16,MATCH(E80,Roadmap!$A$5:$A$16,0)),"")</f>
        <v/>
      </c>
      <c r="G80" s="4" t="inlineStr">
        <is>
          <t>Feature</t>
        </is>
      </c>
      <c r="H80" s="4" t="inlineStr">
        <is>
          <t>P2</t>
        </is>
      </c>
      <c r="I80" s="4" t="inlineStr">
        <is>
          <t>XS</t>
        </is>
      </c>
      <c r="J80" s="4" t="inlineStr">
        <is>
          <t>Not started</t>
        </is>
      </c>
      <c r="K80" s="4" t="inlineStr">
        <is>
          <t>SL-023</t>
        </is>
      </c>
      <c r="L80" s="4" t="n"/>
      <c r="M80" s="12" t="n"/>
      <c r="N80" s="12" t="n"/>
      <c r="O80" s="4" t="inlineStr">
        <is>
          <t>Proposed</t>
        </is>
      </c>
      <c r="P80" s="4" t="n"/>
    </row>
    <row r="81">
      <c r="A81" s="4" t="inlineStr">
        <is>
          <t>SL-080</t>
        </is>
      </c>
      <c r="B81" s="4" t="inlineStr">
        <is>
          <t>CI: migration check and mutation testing</t>
        </is>
      </c>
      <c r="C81" s="4" t="inlineStr">
        <is>
          <t>The parts of SL-020 not built yet: migration:generate --check (entities and migrations agree) and incremental mutation testing on pull requests</t>
        </is>
      </c>
      <c r="D81" s="4" t="inlineStr">
        <is>
          <t>DevOps</t>
        </is>
      </c>
      <c r="E81" s="4" t="inlineStr">
        <is>
          <t>M2</t>
        </is>
      </c>
      <c r="F81" s="4">
        <f>IFERROR(INDEX(Roadmap!$B$5:$B$16,MATCH(E81,Roadmap!$A$5:$A$16,0)),"")</f>
        <v/>
      </c>
      <c r="G81" s="4" t="inlineStr">
        <is>
          <t>Chore</t>
        </is>
      </c>
      <c r="H81" s="4" t="inlineStr">
        <is>
          <t>P3</t>
        </is>
      </c>
      <c r="I81" s="4" t="inlineStr">
        <is>
          <t>S</t>
        </is>
      </c>
      <c r="J81" s="4" t="inlineStr">
        <is>
          <t>Not started</t>
        </is>
      </c>
      <c r="K81" s="4" t="inlineStr">
        <is>
          <t>SL-020</t>
        </is>
      </c>
      <c r="L81" s="4" t="n"/>
      <c r="M81" s="12" t="n"/>
      <c r="N81" s="12" t="n"/>
      <c r="O81" s="4" t="inlineStr">
        <is>
          <t>Proposed</t>
        </is>
      </c>
      <c r="P81" s="4" t="n"/>
    </row>
    <row r="82">
      <c r="A82" s="4" t="inlineStr">
        <is>
          <t>SL-081</t>
        </is>
      </c>
      <c r="B82" s="4" t="inlineStr">
        <is>
          <t>Shorter SMTP timeouts</t>
        </is>
      </c>
      <c r="C82" s="4" t="inlineStr">
        <is>
          <t>When the mail server can't be reached, signup waits about 30 s for the connection to time out; set nodemailer connection and greeting timeouts of a few seconds</t>
        </is>
      </c>
      <c r="D82" s="4" t="inlineStr">
        <is>
          <t>Backend</t>
        </is>
      </c>
      <c r="E82" s="4" t="inlineStr">
        <is>
          <t>M2</t>
        </is>
      </c>
      <c r="F82" s="4">
        <f>IFERROR(INDEX(Roadmap!$B$5:$B$16,MATCH(E82,Roadmap!$A$5:$A$16,0)),"")</f>
        <v/>
      </c>
      <c r="G82" s="4" t="inlineStr">
        <is>
          <t>Bug</t>
        </is>
      </c>
      <c r="H82" s="4" t="inlineStr">
        <is>
          <t>P2</t>
        </is>
      </c>
      <c r="I82" s="4" t="inlineStr">
        <is>
          <t>XS</t>
        </is>
      </c>
      <c r="J82" s="4" t="inlineStr">
        <is>
          <t>Not started</t>
        </is>
      </c>
      <c r="K82" s="4" t="n"/>
      <c r="L82" s="4" t="n"/>
      <c r="M82" s="12" t="n"/>
      <c r="N82" s="12" t="n"/>
      <c r="O82" s="4" t="inlineStr">
        <is>
          <t>Proposed</t>
        </is>
      </c>
      <c r="P82" s="4" t="inlineStr">
        <is>
          <t>Seen on the first production signup, before SMTP moved to port 2525.</t>
        </is>
      </c>
    </row>
    <row r="83">
      <c r="A83" s="4" t="inlineStr">
        <is>
          <t>SL-082</t>
        </is>
      </c>
      <c r="B83" s="4" t="inlineStr">
        <is>
          <t>Rebrand the app to Gradiaqo</t>
        </is>
      </c>
      <c r="C83" s="4" t="inlineStr">
        <is>
          <t>The web app, page titles, homepage and image names still say StudyLog; emails already say Gradiaqo (BRAND in apps/api/src/mail/templates.ts)</t>
        </is>
      </c>
      <c r="D83" s="4" t="inlineStr">
        <is>
          <t>Frontend</t>
        </is>
      </c>
      <c r="E83" s="4" t="inlineStr">
        <is>
          <t>M2</t>
        </is>
      </c>
      <c r="F83" s="4">
        <f>IFERROR(INDEX(Roadmap!$B$5:$B$16,MATCH(E83,Roadmap!$A$5:$A$16,0)),"")</f>
        <v/>
      </c>
      <c r="G83" s="4" t="inlineStr">
        <is>
          <t>Chore</t>
        </is>
      </c>
      <c r="H83" s="4" t="inlineStr">
        <is>
          <t>P2</t>
        </is>
      </c>
      <c r="I83" s="4" t="inlineStr">
        <is>
          <t>M</t>
        </is>
      </c>
      <c r="J83" s="4" t="inlineStr">
        <is>
          <t>Not started</t>
        </is>
      </c>
      <c r="K83" s="4" t="n"/>
      <c r="L83" s="4" t="n"/>
      <c r="M83" s="12" t="n"/>
      <c r="N83" s="12" t="n"/>
      <c r="O83" s="4" t="inlineStr">
        <is>
          <t>Proposed</t>
        </is>
      </c>
      <c r="P83" s="4" t="n"/>
    </row>
    <row r="84">
      <c r="A84" s="4" t="inlineStr">
        <is>
          <t>SL-083</t>
        </is>
      </c>
      <c r="B84" s="4" t="inlineStr">
        <is>
          <t>CLI: user:promote</t>
        </is>
      </c>
      <c r="C84" s="4" t="inlineStr">
        <is>
          <t>yarn cli user:promote &lt;email&gt; (and --demote) to make a superadmin without SQL; documented in deploy/k8s/README.md</t>
        </is>
      </c>
      <c r="D84" s="4" t="inlineStr">
        <is>
          <t>Tooling</t>
        </is>
      </c>
      <c r="E84" s="4" t="inlineStr">
        <is>
          <t>M10</t>
        </is>
      </c>
      <c r="F84" s="4">
        <f>IFERROR(INDEX(Roadmap!$B$5:$B$16,MATCH(E84,Roadmap!$A$5:$A$16,0)),"")</f>
        <v/>
      </c>
      <c r="G84" s="4" t="inlineStr">
        <is>
          <t>Feature</t>
        </is>
      </c>
      <c r="H84" s="4" t="inlineStr">
        <is>
          <t>P1</t>
        </is>
      </c>
      <c r="I84" s="4" t="inlineStr">
        <is>
          <t>XS</t>
        </is>
      </c>
      <c r="J84" s="4" t="inlineStr">
        <is>
          <t>Not started</t>
        </is>
      </c>
      <c r="K84" s="4" t="n"/>
      <c r="L84" s="4" t="n"/>
      <c r="M84" s="12" t="n"/>
      <c r="N84" s="12" t="n"/>
      <c r="O84" s="4" t="inlineStr">
        <is>
          <t>Proposed</t>
        </is>
      </c>
      <c r="P84" s="4" t="inlineStr">
        <is>
          <t>The first superadmin was set with a manual UPDATE on 2026-10-24.</t>
        </is>
      </c>
    </row>
    <row r="85">
      <c r="A85" s="4" t="inlineStr">
        <is>
          <t>SL-084</t>
        </is>
      </c>
      <c r="B85" s="4" t="inlineStr">
        <is>
          <t>Admin users API</t>
        </is>
      </c>
      <c r="C85" s="4" t="inlineStr">
        <is>
          <t>GET /admin/users (search by email or name, paginated; verified, role, created, last login if tracked), PATCH platform role, DELETE an account (spam)</t>
        </is>
      </c>
      <c r="D85" s="4" t="inlineStr">
        <is>
          <t>Backend</t>
        </is>
      </c>
      <c r="E85" s="4" t="inlineStr">
        <is>
          <t>M10</t>
        </is>
      </c>
      <c r="F85" s="4">
        <f>IFERROR(INDEX(Roadmap!$B$5:$B$16,MATCH(E85,Roadmap!$A$5:$A$16,0)),"")</f>
        <v/>
      </c>
      <c r="G85" s="4" t="inlineStr">
        <is>
          <t>Feature</t>
        </is>
      </c>
      <c r="H85" s="4" t="inlineStr">
        <is>
          <t>P1</t>
        </is>
      </c>
      <c r="I85" s="4" t="inlineStr">
        <is>
          <t>M</t>
        </is>
      </c>
      <c r="J85" s="4" t="inlineStr">
        <is>
          <t>Not started</t>
        </is>
      </c>
      <c r="K85" s="4" t="n"/>
      <c r="L85" s="4" t="n"/>
      <c r="M85" s="12" t="n"/>
      <c r="N85" s="12" t="n"/>
      <c r="O85" s="4" t="inlineStr">
        <is>
          <t>Proposed</t>
        </is>
      </c>
      <c r="P85" s="4" t="n"/>
    </row>
    <row r="86">
      <c r="A86" s="4" t="inlineStr">
        <is>
          <t>SL-085</t>
        </is>
      </c>
      <c r="B86" s="4" t="inlineStr">
        <is>
          <t>Admin users page</t>
        </is>
      </c>
      <c r="C86" s="4" t="inlineStr">
        <is>
          <t>/app/admin/users: search, verified badge, promote or demote superadmin, remove an account with confirmation; sidebar link</t>
        </is>
      </c>
      <c r="D86" s="4" t="inlineStr">
        <is>
          <t>Frontend</t>
        </is>
      </c>
      <c r="E86" s="4" t="inlineStr">
        <is>
          <t>M10</t>
        </is>
      </c>
      <c r="F86" s="4">
        <f>IFERROR(INDEX(Roadmap!$B$5:$B$16,MATCH(E86,Roadmap!$A$5:$A$16,0)),"")</f>
        <v/>
      </c>
      <c r="G86" s="4" t="inlineStr">
        <is>
          <t>Feature</t>
        </is>
      </c>
      <c r="H86" s="4" t="inlineStr">
        <is>
          <t>P1</t>
        </is>
      </c>
      <c r="I86" s="4" t="inlineStr">
        <is>
          <t>L</t>
        </is>
      </c>
      <c r="J86" s="4" t="inlineStr">
        <is>
          <t>Not started</t>
        </is>
      </c>
      <c r="K86" s="4" t="inlineStr">
        <is>
          <t>SL-084</t>
        </is>
      </c>
      <c r="L86" s="4" t="n"/>
      <c r="M86" s="12" t="n"/>
      <c r="N86" s="12" t="n"/>
      <c r="O86" s="4" t="inlineStr">
        <is>
          <t>Proposed</t>
        </is>
      </c>
      <c r="P86" s="4" t="n"/>
    </row>
    <row r="87">
      <c r="A87" s="4" t="inlineStr">
        <is>
          <t>SL-086</t>
        </is>
      </c>
      <c r="B87" s="4" t="inlineStr">
        <is>
          <t>Admin platform overview</t>
        </is>
      </c>
      <c r="C87" s="4" t="inlineStr">
        <is>
          <t>Sign-ups per day, active learners, verified vs unverified accounts, most-enrolled paths; API and page; becomes the /app/admin landing page (today it redirects to the catalog)</t>
        </is>
      </c>
      <c r="D87" s="4" t="inlineStr">
        <is>
          <t>Frontend</t>
        </is>
      </c>
      <c r="E87" s="4" t="inlineStr">
        <is>
          <t>M10</t>
        </is>
      </c>
      <c r="F87" s="4">
        <f>IFERROR(INDEX(Roadmap!$B$5:$B$16,MATCH(E87,Roadmap!$A$5:$A$16,0)),"")</f>
        <v/>
      </c>
      <c r="G87" s="4" t="inlineStr">
        <is>
          <t>Feature</t>
        </is>
      </c>
      <c r="H87" s="4" t="inlineStr">
        <is>
          <t>P2</t>
        </is>
      </c>
      <c r="I87" s="4" t="inlineStr">
        <is>
          <t>L</t>
        </is>
      </c>
      <c r="J87" s="4" t="inlineStr">
        <is>
          <t>Not started</t>
        </is>
      </c>
      <c r="K87" s="4" t="n"/>
      <c r="L87" s="4" t="n"/>
      <c r="M87" s="12" t="n"/>
      <c r="N87" s="12" t="n"/>
      <c r="O87" s="4" t="inlineStr">
        <is>
          <t>Proposed</t>
        </is>
      </c>
      <c r="P87" s="4" t="n"/>
    </row>
    <row r="88">
      <c r="A88" s="4" t="inlineStr">
        <is>
          <t>SL-087</t>
        </is>
      </c>
      <c r="B88" s="4" t="inlineStr">
        <is>
          <t>Admin organizations oversight</t>
        </is>
      </c>
      <c r="C88" s="4" t="inlineStr">
        <is>
          <t>List every organization with its members and paths, for abuse and support requests; API and page</t>
        </is>
      </c>
      <c r="D88" s="4" t="inlineStr">
        <is>
          <t>Frontend</t>
        </is>
      </c>
      <c r="E88" s="4" t="inlineStr">
        <is>
          <t>M10</t>
        </is>
      </c>
      <c r="F88" s="4">
        <f>IFERROR(INDEX(Roadmap!$B$5:$B$16,MATCH(E88,Roadmap!$A$5:$A$16,0)),"")</f>
        <v/>
      </c>
      <c r="G88" s="4" t="inlineStr">
        <is>
          <t>Feature</t>
        </is>
      </c>
      <c r="H88" s="4" t="inlineStr">
        <is>
          <t>P3</t>
        </is>
      </c>
      <c r="I88" s="4" t="inlineStr">
        <is>
          <t>M</t>
        </is>
      </c>
      <c r="J88" s="4" t="inlineStr">
        <is>
          <t>Not started</t>
        </is>
      </c>
      <c r="K88" s="4" t="n"/>
      <c r="L88" s="4" t="n"/>
      <c r="M88" s="12" t="n"/>
      <c r="N88" s="12" t="n"/>
      <c r="O88" s="4" t="inlineStr">
        <is>
          <t>Proposed</t>
        </is>
      </c>
      <c r="P88" s="4" t="n"/>
    </row>
    <row r="89">
      <c r="A89" s="4" t="inlineStr">
        <is>
          <t>SL-088</t>
        </is>
      </c>
      <c r="B89" s="4" t="inlineStr">
        <is>
          <t>Admin audit log</t>
        </is>
      </c>
      <c r="C89" s="4" t="inlineStr">
        <is>
          <t>Record who hid, un-hid, published, archived or promoted what and when; a page to browse it</t>
        </is>
      </c>
      <c r="D89" s="4" t="inlineStr">
        <is>
          <t>Backend</t>
        </is>
      </c>
      <c r="E89" s="4" t="inlineStr">
        <is>
          <t>M10</t>
        </is>
      </c>
      <c r="F89" s="4">
        <f>IFERROR(INDEX(Roadmap!$B$5:$B$16,MATCH(E89,Roadmap!$A$5:$A$16,0)),"")</f>
        <v/>
      </c>
      <c r="G89" s="4" t="inlineStr">
        <is>
          <t>Feature</t>
        </is>
      </c>
      <c r="H89" s="4" t="inlineStr">
        <is>
          <t>P3</t>
        </is>
      </c>
      <c r="I89" s="4" t="inlineStr">
        <is>
          <t>M</t>
        </is>
      </c>
      <c r="J89" s="4" t="inlineStr">
        <is>
          <t>Not started</t>
        </is>
      </c>
      <c r="K89" s="4" t="n"/>
      <c r="L89" s="4" t="n"/>
      <c r="M89" s="12" t="n"/>
      <c r="N89" s="12" t="n"/>
      <c r="O89" s="4" t="inlineStr">
        <is>
          <t>Proposed</t>
        </is>
      </c>
      <c r="P89" s="4" t="n"/>
    </row>
    <row r="90">
      <c r="A90" s="4" t="inlineStr">
        <is>
          <t>SL-089</t>
        </is>
      </c>
      <c r="B90" s="4" t="inlineStr">
        <is>
          <t>SEO basics</t>
        </is>
      </c>
      <c r="C90" s="4" t="inlineStr">
        <is>
          <t>A title and description per public page (home, login, signup) under the Gradiaqo name; Open Graph and Twitter tags with a 1200×630 share image, so shared links show a card; robots.txt (allow /, disallow /app/) and sitemap.xml served by Caddy; noindex on /app pages; favicon.ico</t>
        </is>
      </c>
      <c r="D90" s="4" t="inlineStr">
        <is>
          <t>Frontend</t>
        </is>
      </c>
      <c r="E90" s="4" t="inlineStr">
        <is>
          <t>M2</t>
        </is>
      </c>
      <c r="F90" s="4">
        <f>IFERROR(INDEX(Roadmap!$B$5:$B$16,MATCH(E90,Roadmap!$A$5:$A$16,0)),"")</f>
        <v/>
      </c>
      <c r="G90" s="4" t="inlineStr">
        <is>
          <t>Feature</t>
        </is>
      </c>
      <c r="H90" s="4" t="inlineStr">
        <is>
          <t>P2</t>
        </is>
      </c>
      <c r="I90" s="4" t="inlineStr">
        <is>
          <t>M</t>
        </is>
      </c>
      <c r="J90" s="4" t="inlineStr">
        <is>
          <t>Not started</t>
        </is>
      </c>
      <c r="K90" s="4" t="inlineStr">
        <is>
          <t>SL-082</t>
        </is>
      </c>
      <c r="L90" s="4" t="n"/>
      <c r="M90" s="12" t="n"/>
      <c r="N90" s="12" t="n"/>
      <c r="O90" s="4" t="inlineStr">
        <is>
          <t>Proposed</t>
        </is>
      </c>
      <c r="P90" s="4" t="inlineStr">
        <is>
          <t>Today every page is titled "StudyLog", there are no preview tags, and robots.txt and sitemap.xml return the API's 404.</t>
        </is>
      </c>
    </row>
    <row r="91">
      <c r="A91" s="4" t="inlineStr">
        <is>
          <t>SL-090</t>
        </is>
      </c>
      <c r="B91" s="4" t="inlineStr">
        <is>
          <t>Pre-render the homepage</t>
        </is>
      </c>
      <c r="C91" s="4" t="inlineStr">
        <is>
          <t>Render the homepage to static HTML at build time, so search engines and link previews (WhatsApp, LinkedIn, Slack) see its content instead of an empty &lt;div id="root"&gt;</t>
        </is>
      </c>
      <c r="D91" s="4" t="inlineStr">
        <is>
          <t>Frontend</t>
        </is>
      </c>
      <c r="E91" s="4" t="inlineStr">
        <is>
          <t>M2</t>
        </is>
      </c>
      <c r="F91" s="4">
        <f>IFERROR(INDEX(Roadmap!$B$5:$B$16,MATCH(E91,Roadmap!$A$5:$A$16,0)),"")</f>
        <v/>
      </c>
      <c r="G91" s="4" t="inlineStr">
        <is>
          <t>Feature</t>
        </is>
      </c>
      <c r="H91" s="4" t="inlineStr">
        <is>
          <t>P2</t>
        </is>
      </c>
      <c r="I91" s="4" t="inlineStr">
        <is>
          <t>M</t>
        </is>
      </c>
      <c r="J91" s="4" t="inlineStr">
        <is>
          <t>Not started</t>
        </is>
      </c>
      <c r="K91" s="4" t="inlineStr">
        <is>
          <t>SL-089</t>
        </is>
      </c>
      <c r="L91" s="4" t="n"/>
      <c r="M91" s="12" t="n"/>
      <c r="N91" s="12" t="n"/>
      <c r="O91" s="4" t="inlineStr">
        <is>
          <t>Proposed</t>
        </is>
      </c>
      <c r="P91" s="4" t="n"/>
    </row>
    <row r="92">
      <c r="A92" s="4" t="inlineStr">
        <is>
          <t>SL-091</t>
        </is>
      </c>
      <c r="B92" s="4" t="inlineStr">
        <is>
          <t>Google Search Console</t>
        </is>
      </c>
      <c r="C92" s="4" t="inlineStr">
        <is>
          <t>Verify gradiaqo.com with a DNS TXT record at Hostinger, submit sitemap.xml, check indexing and search queries</t>
        </is>
      </c>
      <c r="D92" s="4" t="inlineStr">
        <is>
          <t>Operations</t>
        </is>
      </c>
      <c r="E92" s="4" t="inlineStr">
        <is>
          <t>M2</t>
        </is>
      </c>
      <c r="F92" s="4">
        <f>IFERROR(INDEX(Roadmap!$B$5:$B$16,MATCH(E92,Roadmap!$A$5:$A$16,0)),"")</f>
        <v/>
      </c>
      <c r="G92" s="4" t="inlineStr">
        <is>
          <t>Chore</t>
        </is>
      </c>
      <c r="H92" s="4" t="inlineStr">
        <is>
          <t>P2</t>
        </is>
      </c>
      <c r="I92" s="4" t="inlineStr">
        <is>
          <t>XS</t>
        </is>
      </c>
      <c r="J92" s="4" t="inlineStr">
        <is>
          <t>Not started</t>
        </is>
      </c>
      <c r="K92" s="4" t="inlineStr">
        <is>
          <t>SL-089</t>
        </is>
      </c>
      <c r="L92" s="4" t="n"/>
      <c r="M92" s="12" t="n"/>
      <c r="N92" s="12" t="n"/>
      <c r="O92" s="4" t="inlineStr">
        <is>
          <t>Proposed</t>
        </is>
      </c>
      <c r="P92" s="4" t="n"/>
    </row>
    <row r="93">
      <c r="A93" s="4" t="inlineStr">
        <is>
          <t>SL-092</t>
        </is>
      </c>
      <c r="B93" s="4" t="inlineStr">
        <is>
          <t>Public learning-path pages</t>
        </is>
      </c>
      <c r="C93" s="4" t="inlineStr">
        <is>
          <t>Read-only public pages for selected official paths (e.g. DSA, system design) with "Sign up to start": the pages people would find through search. Today the catalog is behind login</t>
        </is>
      </c>
      <c r="D93" s="4" t="inlineStr">
        <is>
          <t>Frontend</t>
        </is>
      </c>
      <c r="E93" s="4" t="inlineStr">
        <is>
          <t>M5</t>
        </is>
      </c>
      <c r="F93" s="4">
        <f>IFERROR(INDEX(Roadmap!$B$5:$B$16,MATCH(E93,Roadmap!$A$5:$A$16,0)),"")</f>
        <v/>
      </c>
      <c r="G93" s="4" t="inlineStr">
        <is>
          <t>Feature</t>
        </is>
      </c>
      <c r="H93" s="4" t="inlineStr">
        <is>
          <t>P3</t>
        </is>
      </c>
      <c r="I93" s="4" t="inlineStr">
        <is>
          <t>XL</t>
        </is>
      </c>
      <c r="J93" s="4" t="inlineStr">
        <is>
          <t>Not started</t>
        </is>
      </c>
      <c r="K93" s="4" t="inlineStr">
        <is>
          <t>SL-089</t>
        </is>
      </c>
      <c r="L93" s="4" t="n"/>
      <c r="M93" s="12" t="n"/>
      <c r="N93" s="12" t="n"/>
      <c r="O93" s="4" t="inlineStr">
        <is>
          <t>Proposed</t>
        </is>
      </c>
      <c r="P93" s="4" t="inlineStr">
        <is>
          <t>A product decision first: which paths, and how much of each to show logged out.</t>
        </is>
      </c>
    </row>
    <row r="94">
      <c r="A94" s="4" t="inlineStr">
        <is>
          <t>SL-093</t>
        </is>
      </c>
      <c r="B94" s="4" t="inlineStr">
        <is>
          <t>Dark theme design in Figma</t>
        </is>
      </c>
      <c r="C94" s="4" t="inlineStr">
        <is>
          <t>Dark mode for the Figma variables and a pass over the screens (charts, badges, dialogs), so the dark values are designed rather than guessed</t>
        </is>
      </c>
      <c r="D94" s="4" t="inlineStr">
        <is>
          <t>Design</t>
        </is>
      </c>
      <c r="E94" s="4" t="inlineStr">
        <is>
          <t>M8</t>
        </is>
      </c>
      <c r="F94" s="4">
        <f>IFERROR(INDEX(Roadmap!$B$5:$B$16,MATCH(E94,Roadmap!$A$5:$A$16,0)),"")</f>
        <v/>
      </c>
      <c r="G94" s="4" t="inlineStr">
        <is>
          <t>Chore</t>
        </is>
      </c>
      <c r="H94" s="4" t="inlineStr">
        <is>
          <t>P3</t>
        </is>
      </c>
      <c r="I94" s="4" t="inlineStr">
        <is>
          <t>M</t>
        </is>
      </c>
      <c r="J94" s="4" t="inlineStr">
        <is>
          <t>Not started</t>
        </is>
      </c>
      <c r="K94" s="4" t="inlineStr">
        <is>
          <t>SL-056</t>
        </is>
      </c>
      <c r="L94" s="4" t="n"/>
      <c r="M94" s="12" t="n"/>
      <c r="N94" s="12" t="n"/>
      <c r="O94" s="4" t="inlineStr">
        <is>
          <t>Proposed</t>
        </is>
      </c>
      <c r="P94" s="4" t="n"/>
    </row>
    <row r="95">
      <c r="A95" s="4" t="inlineStr">
        <is>
          <t>SL-094</t>
        </is>
      </c>
      <c r="B95" s="4" t="inlineStr">
        <is>
          <t>Dark theme in the web app</t>
        </is>
      </c>
      <c r="C95" s="4" t="inlineStr">
        <is>
          <t>Follow the system setting by default, with Light / Dark / System in Settings (remembered); set before the first paint so pages don't flash; check every page, chart and dialog in both themes; UI tests for the switch</t>
        </is>
      </c>
      <c r="D95" s="4" t="inlineStr">
        <is>
          <t>Frontend</t>
        </is>
      </c>
      <c r="E95" s="4" t="inlineStr">
        <is>
          <t>M8</t>
        </is>
      </c>
      <c r="F95" s="4">
        <f>IFERROR(INDEX(Roadmap!$B$5:$B$16,MATCH(E95,Roadmap!$A$5:$A$16,0)),"")</f>
        <v/>
      </c>
      <c r="G95" s="4" t="inlineStr">
        <is>
          <t>Feature</t>
        </is>
      </c>
      <c r="H95" s="4" t="inlineStr">
        <is>
          <t>P2</t>
        </is>
      </c>
      <c r="I95" s="4" t="inlineStr">
        <is>
          <t>M</t>
        </is>
      </c>
      <c r="J95" s="4" t="inlineStr">
        <is>
          <t>Not started</t>
        </is>
      </c>
      <c r="K95" s="4" t="inlineStr">
        <is>
          <t>SL-093</t>
        </is>
      </c>
      <c r="L95" s="4" t="n"/>
      <c r="M95" s="12" t="n"/>
      <c r="N95" s="12" t="n"/>
      <c r="O95" s="4" t="inlineStr">
        <is>
          <t>Proposed</t>
        </is>
      </c>
      <c r="P95" s="4" t="inlineStr">
        <is>
          <t>The dark tokens already exist in apps/web/src/index.css (:root[data-theme='dark']) but nothing switches them on.</t>
        </is>
      </c>
    </row>
    <row r="96">
      <c r="A96" s="4" t="inlineStr">
        <is>
          <t>SL-095</t>
        </is>
      </c>
      <c r="B96" s="4" t="inlineStr">
        <is>
          <t>Publish the first official paths</t>
        </is>
      </c>
      <c r="C96" s="4" t="inlineStr">
        <is>
          <t>3–5 interview-prep paths in the admin catalog editor, well ordered with good free resources: DSA (arrays to DP), system design basics, SQL, JavaScript/React or CS fundamentals (OS, DBMS, networks). Quality over quantity</t>
        </is>
      </c>
      <c r="D96" s="4" t="inlineStr">
        <is>
          <t>Content</t>
        </is>
      </c>
      <c r="E96" s="4" t="inlineStr">
        <is>
          <t>M11</t>
        </is>
      </c>
      <c r="F96" s="4">
        <f>IFERROR(INDEX(Roadmap!$B$5:$B$16,MATCH(E96,Roadmap!$A$5:$A$16,0)),"")</f>
        <v/>
      </c>
      <c r="G96" s="4" t="inlineStr">
        <is>
          <t>Feature</t>
        </is>
      </c>
      <c r="H96" s="4" t="inlineStr">
        <is>
          <t>P1</t>
        </is>
      </c>
      <c r="I96" s="4" t="inlineStr">
        <is>
          <t>L</t>
        </is>
      </c>
      <c r="J96" s="4" t="inlineStr">
        <is>
          <t>Not started</t>
        </is>
      </c>
      <c r="K96" s="4" t="n"/>
      <c r="L96" s="4" t="n"/>
      <c r="M96" s="12" t="n"/>
      <c r="N96" s="12" t="n"/>
      <c r="O96" s="4" t="inlineStr">
        <is>
          <t>Proposed</t>
        </is>
      </c>
      <c r="P96" s="4" t="inlineStr">
        <is>
          <t>On 2026-10-24 production had 0 learning paths: a new user finds nothing to study. Do this before any outreach.</t>
        </is>
      </c>
    </row>
    <row r="97">
      <c r="A97" s="4" t="inlineStr">
        <is>
          <t>SL-096</t>
        </is>
      </c>
      <c r="B97" s="4" t="inlineStr">
        <is>
          <t>Feedback link and early-user group</t>
        </is>
      </c>
      <c r="C97" s="4" t="inlineStr">
        <is>
          <t>A "Feedback" link in the app (to a form) and a WhatsApp or Telegram group for early users</t>
        </is>
      </c>
      <c r="D97" s="4" t="inlineStr">
        <is>
          <t>Frontend</t>
        </is>
      </c>
      <c r="E97" s="4" t="inlineStr">
        <is>
          <t>M11</t>
        </is>
      </c>
      <c r="F97" s="4">
        <f>IFERROR(INDEX(Roadmap!$B$5:$B$16,MATCH(E97,Roadmap!$A$5:$A$16,0)),"")</f>
        <v/>
      </c>
      <c r="G97" s="4" t="inlineStr">
        <is>
          <t>Feature</t>
        </is>
      </c>
      <c r="H97" s="4" t="inlineStr">
        <is>
          <t>P1</t>
        </is>
      </c>
      <c r="I97" s="4" t="inlineStr">
        <is>
          <t>XS</t>
        </is>
      </c>
      <c r="J97" s="4" t="inlineStr">
        <is>
          <t>Not started</t>
        </is>
      </c>
      <c r="K97" s="4" t="n"/>
      <c r="L97" s="4" t="n"/>
      <c r="M97" s="12" t="n"/>
      <c r="N97" s="12" t="n"/>
      <c r="O97" s="4" t="inlineStr">
        <is>
          <t>Proposed</t>
        </is>
      </c>
      <c r="P97" s="4" t="n"/>
    </row>
    <row r="98">
      <c r="A98" s="4" t="inlineStr">
        <is>
          <t>SL-097</t>
        </is>
      </c>
      <c r="B98" s="4" t="inlineStr">
        <is>
          <t>First 10–30 users, one by one</t>
        </is>
      </c>
      <c r="C98" s="4" t="inlineStr">
        <is>
          <t>Personal messages to friends, juniors and ex-colleagues preparing for interviews ("try the DSA path for a week and tell me what's annoying"); watch 3–5 of them sign up and enrol over a call</t>
        </is>
      </c>
      <c r="D98" s="4" t="inlineStr">
        <is>
          <t>Marketing</t>
        </is>
      </c>
      <c r="E98" s="4" t="inlineStr">
        <is>
          <t>M11</t>
        </is>
      </c>
      <c r="F98" s="4">
        <f>IFERROR(INDEX(Roadmap!$B$5:$B$16,MATCH(E98,Roadmap!$A$5:$A$16,0)),"")</f>
        <v/>
      </c>
      <c r="G98" s="4" t="inlineStr">
        <is>
          <t>Chore</t>
        </is>
      </c>
      <c r="H98" s="4" t="inlineStr">
        <is>
          <t>P1</t>
        </is>
      </c>
      <c r="I98" s="4" t="inlineStr">
        <is>
          <t>M</t>
        </is>
      </c>
      <c r="J98" s="4" t="inlineStr">
        <is>
          <t>Not started</t>
        </is>
      </c>
      <c r="K98" s="4" t="inlineStr">
        <is>
          <t>SL-095</t>
        </is>
      </c>
      <c r="L98" s="4" t="n"/>
      <c r="M98" s="12" t="n"/>
      <c r="N98" s="12" t="n"/>
      <c r="O98" s="4" t="inlineStr">
        <is>
          <t>Proposed</t>
        </is>
      </c>
      <c r="P98" s="4" t="inlineStr">
        <is>
          <t>Before: SL-082 rebrand, SL-089 link previews, SL-077 SPF.</t>
        </is>
      </c>
    </row>
    <row r="99">
      <c r="A99" s="4" t="inlineStr">
        <is>
          <t>SL-098</t>
        </is>
      </c>
      <c r="B99" s="4" t="inlineStr">
        <is>
          <t>Sign-up source tracking</t>
        </is>
      </c>
      <c r="C99" s="4" t="inlineStr">
        <is>
          <t>Keep ?ref= (linkedin, reddit, a college group…) through signup and store it on the account; shown in the admin overview</t>
        </is>
      </c>
      <c r="D99" s="4" t="inlineStr">
        <is>
          <t>Backend</t>
        </is>
      </c>
      <c r="E99" s="4" t="inlineStr">
        <is>
          <t>M11</t>
        </is>
      </c>
      <c r="F99" s="4">
        <f>IFERROR(INDEX(Roadmap!$B$5:$B$16,MATCH(E99,Roadmap!$A$5:$A$16,0)),"")</f>
        <v/>
      </c>
      <c r="G99" s="4" t="inlineStr">
        <is>
          <t>Feature</t>
        </is>
      </c>
      <c r="H99" s="4" t="inlineStr">
        <is>
          <t>P2</t>
        </is>
      </c>
      <c r="I99" s="4" t="inlineStr">
        <is>
          <t>S</t>
        </is>
      </c>
      <c r="J99" s="4" t="inlineStr">
        <is>
          <t>Not started</t>
        </is>
      </c>
      <c r="K99" s="4" t="inlineStr">
        <is>
          <t>SL-086</t>
        </is>
      </c>
      <c r="L99" s="4" t="n"/>
      <c r="M99" s="12" t="n"/>
      <c r="N99" s="12" t="n"/>
      <c r="O99" s="4" t="inlineStr">
        <is>
          <t>Proposed</t>
        </is>
      </c>
      <c r="P99" s="4" t="n"/>
    </row>
    <row r="100">
      <c r="A100" s="4" t="inlineStr">
        <is>
          <t>SL-099</t>
        </is>
      </c>
      <c r="B100" s="4" t="inlineStr">
        <is>
          <t>Weekly growth numbers</t>
        </is>
      </c>
      <c r="C100" s="4" t="inlineStr">
        <is>
          <t>Every week: sign-ups, activation (verified and enrolled in a path) and week-2 retention (studied again in the second week); fix retention before pushing more traffic</t>
        </is>
      </c>
      <c r="D100" s="4" t="inlineStr">
        <is>
          <t>Operations</t>
        </is>
      </c>
      <c r="E100" s="4" t="inlineStr">
        <is>
          <t>M11</t>
        </is>
      </c>
      <c r="F100" s="4">
        <f>IFERROR(INDEX(Roadmap!$B$5:$B$16,MATCH(E100,Roadmap!$A$5:$A$16,0)),"")</f>
        <v/>
      </c>
      <c r="G100" s="4" t="inlineStr">
        <is>
          <t>Chore</t>
        </is>
      </c>
      <c r="H100" s="4" t="inlineStr">
        <is>
          <t>P2</t>
        </is>
      </c>
      <c r="I100" s="4" t="inlineStr">
        <is>
          <t>S</t>
        </is>
      </c>
      <c r="J100" s="4" t="inlineStr">
        <is>
          <t>Not started</t>
        </is>
      </c>
      <c r="K100" s="4" t="inlineStr">
        <is>
          <t>SL-086</t>
        </is>
      </c>
      <c r="L100" s="4" t="n"/>
      <c r="M100" s="12" t="n"/>
      <c r="N100" s="12" t="n"/>
      <c r="O100" s="4" t="inlineStr">
        <is>
          <t>Proposed</t>
        </is>
      </c>
      <c r="P100" s="4" t="n"/>
    </row>
    <row r="101">
      <c r="A101" s="4" t="inlineStr">
        <is>
          <t>SL-100</t>
        </is>
      </c>
      <c r="B101" s="4" t="inlineStr">
        <is>
          <t>Build in public on LinkedIn</t>
        </is>
      </c>
      <c r="C101" s="4" t="inlineStr">
        <is>
          <t>A weekly post about building Gradiaqo: features, the stack, the $12/month Civo setup, lessons learned</t>
        </is>
      </c>
      <c r="D101" s="4" t="inlineStr">
        <is>
          <t>Marketing</t>
        </is>
      </c>
      <c r="E101" s="4" t="inlineStr">
        <is>
          <t>M11</t>
        </is>
      </c>
      <c r="F101" s="4">
        <f>IFERROR(INDEX(Roadmap!$B$5:$B$16,MATCH(E101,Roadmap!$A$5:$A$16,0)),"")</f>
        <v/>
      </c>
      <c r="G101" s="4" t="inlineStr">
        <is>
          <t>Chore</t>
        </is>
      </c>
      <c r="H101" s="4" t="inlineStr">
        <is>
          <t>P2</t>
        </is>
      </c>
      <c r="I101" s="4" t="inlineStr">
        <is>
          <t>S</t>
        </is>
      </c>
      <c r="J101" s="4" t="inlineStr">
        <is>
          <t>Not started</t>
        </is>
      </c>
      <c r="K101" s="4" t="n"/>
      <c r="L101" s="4" t="n"/>
      <c r="M101" s="12" t="n"/>
      <c r="N101" s="12" t="n"/>
      <c r="O101" s="4" t="inlineStr">
        <is>
          <t>Proposed</t>
        </is>
      </c>
      <c r="P101" s="4" t="inlineStr">
        <is>
          <t>Ongoing.</t>
        </is>
      </c>
    </row>
    <row r="102">
      <c r="A102" s="4" t="inlineStr">
        <is>
          <t>SL-101</t>
        </is>
      </c>
      <c r="B102" s="4" t="inlineStr">
        <is>
          <t>Posts in developer communities</t>
        </is>
      </c>
      <c r="C102" s="4" t="inlineStr">
        <is>
          <t>Useful posts first (e.g. "the DSA order I'd follow for 8 weeks") with the app at the end: r/developersIndia, r/leetcode, college placement-prep WhatsApp/Telegram/Discord groups. Check each community's self-promotion rules</t>
        </is>
      </c>
      <c r="D102" s="4" t="inlineStr">
        <is>
          <t>Marketing</t>
        </is>
      </c>
      <c r="E102" s="4" t="inlineStr">
        <is>
          <t>M11</t>
        </is>
      </c>
      <c r="F102" s="4">
        <f>IFERROR(INDEX(Roadmap!$B$5:$B$16,MATCH(E102,Roadmap!$A$5:$A$16,0)),"")</f>
        <v/>
      </c>
      <c r="G102" s="4" t="inlineStr">
        <is>
          <t>Chore</t>
        </is>
      </c>
      <c r="H102" s="4" t="inlineStr">
        <is>
          <t>P2</t>
        </is>
      </c>
      <c r="I102" s="4" t="inlineStr">
        <is>
          <t>M</t>
        </is>
      </c>
      <c r="J102" s="4" t="inlineStr">
        <is>
          <t>Not started</t>
        </is>
      </c>
      <c r="K102" s="4" t="inlineStr">
        <is>
          <t>SL-095</t>
        </is>
      </c>
      <c r="L102" s="4" t="n"/>
      <c r="M102" s="12" t="n"/>
      <c r="N102" s="12" t="n"/>
      <c r="O102" s="4" t="inlineStr">
        <is>
          <t>Proposed</t>
        </is>
      </c>
      <c r="P102" s="4" t="n"/>
    </row>
    <row r="103">
      <c r="A103" s="4" t="inlineStr">
        <is>
          <t>SL-102</t>
        </is>
      </c>
      <c r="B103" s="4" t="inlineStr">
        <is>
          <t>Study groups and coding clubs</t>
        </is>
      </c>
      <c r="C103" s="4" t="inlineStr">
        <is>
          <t>Offer clubs and study groups an organization: shared paths and each other's progress. One club admin can bring 30 users</t>
        </is>
      </c>
      <c r="D103" s="4" t="inlineStr">
        <is>
          <t>Marketing</t>
        </is>
      </c>
      <c r="E103" s="4" t="inlineStr">
        <is>
          <t>M11</t>
        </is>
      </c>
      <c r="F103" s="4">
        <f>IFERROR(INDEX(Roadmap!$B$5:$B$16,MATCH(E103,Roadmap!$A$5:$A$16,0)),"")</f>
        <v/>
      </c>
      <c r="G103" s="4" t="inlineStr">
        <is>
          <t>Chore</t>
        </is>
      </c>
      <c r="H103" s="4" t="inlineStr">
        <is>
          <t>P2</t>
        </is>
      </c>
      <c r="I103" s="4" t="inlineStr">
        <is>
          <t>M</t>
        </is>
      </c>
      <c r="J103" s="4" t="inlineStr">
        <is>
          <t>Not started</t>
        </is>
      </c>
      <c r="K103" s="4" t="inlineStr">
        <is>
          <t>SL-095</t>
        </is>
      </c>
      <c r="L103" s="4" t="n"/>
      <c r="M103" s="12" t="n"/>
      <c r="N103" s="12" t="n"/>
      <c r="O103" s="4" t="inlineStr">
        <is>
          <t>Proposed</t>
        </is>
      </c>
      <c r="P103" s="4" t="n"/>
    </row>
    <row r="104">
      <c r="A104" s="4" t="inlineStr">
        <is>
          <t>SL-103</t>
        </is>
      </c>
      <c r="B104" s="4" t="inlineStr">
        <is>
          <t>Product Hunt and Peerlist launch</t>
        </is>
      </c>
      <c r="C104" s="4" t="inlineStr">
        <is>
          <t>Launch once there are about 50 active users and a few testimonials</t>
        </is>
      </c>
      <c r="D104" s="4" t="inlineStr">
        <is>
          <t>Marketing</t>
        </is>
      </c>
      <c r="E104" s="4" t="inlineStr">
        <is>
          <t>M11</t>
        </is>
      </c>
      <c r="F104" s="4">
        <f>IFERROR(INDEX(Roadmap!$B$5:$B$16,MATCH(E104,Roadmap!$A$5:$A$16,0)),"")</f>
        <v/>
      </c>
      <c r="G104" s="4" t="inlineStr">
        <is>
          <t>Chore</t>
        </is>
      </c>
      <c r="H104" s="4" t="inlineStr">
        <is>
          <t>P3</t>
        </is>
      </c>
      <c r="I104" s="4" t="inlineStr">
        <is>
          <t>M</t>
        </is>
      </c>
      <c r="J104" s="4" t="inlineStr">
        <is>
          <t>Not started</t>
        </is>
      </c>
      <c r="K104" s="4" t="inlineStr">
        <is>
          <t>SL-097</t>
        </is>
      </c>
      <c r="L104" s="4" t="n"/>
      <c r="M104" s="12" t="n"/>
      <c r="N104" s="12" t="n"/>
      <c r="O104" s="4" t="inlineStr">
        <is>
          <t>Proposed</t>
        </is>
      </c>
      <c r="P104" s="4" t="n"/>
    </row>
    <row r="105">
      <c r="A105" s="4" t="inlineStr">
        <is>
          <t>SL-104</t>
        </is>
      </c>
      <c r="B105" s="4" t="inlineStr">
        <is>
          <t>Invite a study buddy</t>
        </is>
      </c>
      <c r="C105" s="4" t="inlineStr">
        <is>
          <t>Referral: invite a friend to study the same path together; once week-2 retention is good</t>
        </is>
      </c>
      <c r="D105" s="4" t="inlineStr">
        <is>
          <t>Frontend</t>
        </is>
      </c>
      <c r="E105" s="4" t="inlineStr">
        <is>
          <t>M11</t>
        </is>
      </c>
      <c r="F105" s="4">
        <f>IFERROR(INDEX(Roadmap!$B$5:$B$16,MATCH(E105,Roadmap!$A$5:$A$16,0)),"")</f>
        <v/>
      </c>
      <c r="G105" s="4" t="inlineStr">
        <is>
          <t>Feature</t>
        </is>
      </c>
      <c r="H105" s="4" t="inlineStr">
        <is>
          <t>P3</t>
        </is>
      </c>
      <c r="I105" s="4" t="inlineStr">
        <is>
          <t>M</t>
        </is>
      </c>
      <c r="J105" s="4" t="inlineStr">
        <is>
          <t>Not started</t>
        </is>
      </c>
      <c r="K105" s="4" t="inlineStr">
        <is>
          <t>SL-099</t>
        </is>
      </c>
      <c r="L105" s="4" t="n"/>
      <c r="M105" s="12" t="n"/>
      <c r="N105" s="12" t="n"/>
      <c r="O105" s="4" t="inlineStr">
        <is>
          <t>Proposed</t>
        </is>
      </c>
      <c r="P105" s="4" t="n"/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=Lists!$E$2:$E$12</formula1>
    </dataValidation>
    <dataValidation sqref="E2:E500" showDropDown="0" showInputMessage="0" showErrorMessage="0" allowBlank="1" type="list">
      <formula1>=Roadmap!$A$5:$A$16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(M0–M11).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  <row r="11">
      <c r="E11" s="16" t="inlineStr">
        <is>
          <t>Content</t>
        </is>
      </c>
    </row>
    <row r="12">
      <c r="E12" s="16" t="inlineStr">
        <is>
          <t>Marketing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2026-10-24T22:22:30Z</dcterms:modified>
</cp:coreProperties>
</file>